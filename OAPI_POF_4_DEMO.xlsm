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lipeSBrandao\Desktop\DOCT\Disciplinas\Confiabilidade Estrutural\Trab_Final\MATLAB\SAP2000\Exemplo4\"/>
    </mc:Choice>
  </mc:AlternateContent>
  <xr:revisionPtr revIDLastSave="0" documentId="13_ncr:1_{0B738ADB-8021-4D49-9B31-7EE76D2369C0}" xr6:coauthVersionLast="47" xr6:coauthVersionMax="47" xr10:uidLastSave="{00000000-0000-0000-0000-000000000000}"/>
  <bookViews>
    <workbookView xWindow="-108" yWindow="-108" windowWidth="23256" windowHeight="12456" xr2:uid="{F4B98288-05BD-481E-98ED-1F1BF235DFC8}"/>
  </bookViews>
  <sheets>
    <sheet name="Secoes" sheetId="8" r:id="rId1"/>
    <sheet name="Secoes_VAR" sheetId="10" r:id="rId2"/>
    <sheet name="Frames" sheetId="1" r:id="rId3"/>
    <sheet name="Restraints" sheetId="13" r:id="rId4"/>
    <sheet name="Links" sheetId="12" r:id="rId5"/>
    <sheet name="Loads_Patterns" sheetId="9" r:id="rId6"/>
    <sheet name="Stays" sheetId="3" r:id="rId7"/>
    <sheet name="Loads_Cases" sheetId="4" r:id="rId8"/>
    <sheet name="Results_Case2" sheetId="5" r:id="rId9"/>
  </sheets>
  <definedNames>
    <definedName name="asphaltThickness">Loads_Patterns!$C$5</definedName>
    <definedName name="DeckWidth">Secoes!$F$7</definedName>
    <definedName name="heightBeamLeft">Secoes!$F$3</definedName>
    <definedName name="heightBeamRight">Secoes!$F$4</definedName>
    <definedName name="LanesWidth">Loads_Patterns!$C$7</definedName>
    <definedName name="rhoPav">Loads_Patterns!$C$6</definedName>
    <definedName name="SlabHeigth">Secoes!$F$9</definedName>
    <definedName name="SlabWidth">Secoes!$F$8</definedName>
    <definedName name="widthBeamLeft">Secoes!$F$5</definedName>
    <definedName name="widthBeamRight">Secoes!$F$6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6" i="5" l="1"/>
  <c r="E46" i="5"/>
  <c r="F45" i="5"/>
  <c r="E45" i="5"/>
  <c r="F44" i="5"/>
  <c r="E44" i="5"/>
  <c r="F43" i="5"/>
  <c r="E43" i="5"/>
  <c r="F42" i="5"/>
  <c r="E42" i="5"/>
  <c r="F41" i="5"/>
  <c r="E41" i="5"/>
  <c r="F40" i="5"/>
  <c r="E40" i="5"/>
  <c r="F39" i="5"/>
  <c r="E39" i="5"/>
  <c r="F38" i="5"/>
  <c r="E38" i="5"/>
  <c r="F37" i="5"/>
  <c r="E37" i="5"/>
  <c r="F36" i="5"/>
  <c r="E36" i="5"/>
  <c r="F35" i="5"/>
  <c r="E35" i="5"/>
  <c r="F34" i="5"/>
  <c r="E34" i="5"/>
  <c r="F33" i="5"/>
  <c r="E33" i="5"/>
  <c r="F32" i="5"/>
  <c r="E32" i="5"/>
  <c r="F31" i="5"/>
  <c r="E31" i="5"/>
  <c r="F30" i="5"/>
  <c r="E30" i="5"/>
  <c r="F29" i="5"/>
  <c r="E29" i="5"/>
  <c r="F28" i="5"/>
  <c r="E28" i="5"/>
  <c r="F27" i="5"/>
  <c r="E27" i="5"/>
  <c r="F26" i="5"/>
  <c r="E26" i="5"/>
  <c r="F25" i="5"/>
  <c r="E25" i="5"/>
  <c r="F24" i="5"/>
  <c r="E24" i="5"/>
  <c r="F23" i="5"/>
  <c r="E23" i="5"/>
  <c r="F22" i="5"/>
  <c r="E22" i="5"/>
  <c r="F21" i="5"/>
  <c r="E21" i="5"/>
  <c r="F20" i="5"/>
  <c r="E20" i="5"/>
  <c r="F19" i="5"/>
  <c r="E19" i="5"/>
  <c r="F18" i="5"/>
  <c r="E18" i="5"/>
  <c r="F17" i="5"/>
  <c r="E17" i="5"/>
  <c r="F16" i="5"/>
  <c r="E16" i="5"/>
  <c r="F15" i="5"/>
  <c r="E15" i="5"/>
  <c r="F14" i="5"/>
  <c r="E14" i="5"/>
  <c r="F13" i="5"/>
  <c r="E13" i="5"/>
  <c r="F12" i="5"/>
  <c r="E12" i="5"/>
  <c r="F11" i="5"/>
  <c r="E11" i="5"/>
  <c r="F10" i="5"/>
  <c r="E10" i="5"/>
  <c r="F9" i="5"/>
  <c r="E9" i="5"/>
  <c r="F8" i="5"/>
  <c r="E8" i="5"/>
  <c r="F7" i="5"/>
  <c r="E7" i="5"/>
  <c r="F6" i="5"/>
  <c r="E6" i="5"/>
  <c r="F5" i="5"/>
  <c r="E5" i="5"/>
  <c r="F4" i="5"/>
  <c r="E4" i="5"/>
  <c r="F3" i="5"/>
  <c r="E3" i="5"/>
  <c r="F2" i="5"/>
  <c r="E2" i="5"/>
  <c r="K1" i="4" l="1"/>
  <c r="F77" i="8"/>
  <c r="F16" i="8"/>
  <c r="H18" i="9" l="1"/>
  <c r="E8" i="13" l="1"/>
  <c r="B8" i="13"/>
  <c r="C8" i="13"/>
  <c r="D8" i="13"/>
  <c r="G72" i="3"/>
  <c r="G70" i="3"/>
  <c r="G68" i="3"/>
  <c r="G66" i="3"/>
  <c r="G64" i="3"/>
  <c r="G62" i="3"/>
  <c r="G60" i="3"/>
  <c r="G58" i="3"/>
  <c r="G56" i="3"/>
  <c r="G54" i="3"/>
  <c r="G52" i="3"/>
  <c r="G50" i="3"/>
  <c r="G48" i="3"/>
  <c r="G46" i="3"/>
  <c r="G44" i="3"/>
  <c r="G42" i="3"/>
  <c r="G40" i="3"/>
  <c r="G38" i="3"/>
  <c r="G36" i="3"/>
  <c r="G34" i="3"/>
  <c r="G32" i="3"/>
  <c r="G30" i="3"/>
  <c r="G28" i="3"/>
  <c r="G26" i="3"/>
  <c r="G24" i="3"/>
  <c r="G22" i="3"/>
  <c r="G20" i="3"/>
  <c r="G18" i="3"/>
  <c r="G16" i="3"/>
  <c r="G14" i="3"/>
  <c r="G12" i="3"/>
  <c r="G10" i="3"/>
  <c r="G8" i="3"/>
  <c r="G6" i="3"/>
  <c r="G4" i="3"/>
  <c r="A4" i="3"/>
  <c r="A5" i="3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G2" i="3" s="1"/>
  <c r="C1" i="13"/>
  <c r="B1" i="13"/>
  <c r="E2" i="12"/>
  <c r="F2" i="12"/>
  <c r="G2" i="12"/>
  <c r="E3" i="12"/>
  <c r="F3" i="12"/>
  <c r="G3" i="12"/>
  <c r="E4" i="12"/>
  <c r="F4" i="12"/>
  <c r="G4" i="12"/>
  <c r="E5" i="12"/>
  <c r="F5" i="12"/>
  <c r="G5" i="12"/>
  <c r="E6" i="12"/>
  <c r="F6" i="12"/>
  <c r="G6" i="12"/>
  <c r="E7" i="12"/>
  <c r="F7" i="12"/>
  <c r="G7" i="12"/>
  <c r="E8" i="12"/>
  <c r="F8" i="12"/>
  <c r="G8" i="12"/>
  <c r="E9" i="12"/>
  <c r="F9" i="12"/>
  <c r="G9" i="12"/>
  <c r="E10" i="12"/>
  <c r="F10" i="12"/>
  <c r="G10" i="12"/>
  <c r="E11" i="12"/>
  <c r="F11" i="12"/>
  <c r="G11" i="12"/>
  <c r="E12" i="12"/>
  <c r="F12" i="12"/>
  <c r="G12" i="12"/>
  <c r="E13" i="12"/>
  <c r="F13" i="12"/>
  <c r="G13" i="12"/>
  <c r="E14" i="12"/>
  <c r="F14" i="12"/>
  <c r="G14" i="12"/>
  <c r="E15" i="12"/>
  <c r="F15" i="12"/>
  <c r="G15" i="12"/>
  <c r="E16" i="12"/>
  <c r="F16" i="12"/>
  <c r="G16" i="12"/>
  <c r="E17" i="12"/>
  <c r="F17" i="12"/>
  <c r="G17" i="12"/>
  <c r="E18" i="12"/>
  <c r="F18" i="12"/>
  <c r="G18" i="12"/>
  <c r="E19" i="12"/>
  <c r="F19" i="12"/>
  <c r="G19" i="12"/>
  <c r="E20" i="12"/>
  <c r="F20" i="12"/>
  <c r="G20" i="12"/>
  <c r="E21" i="12"/>
  <c r="F21" i="12"/>
  <c r="G21" i="12"/>
  <c r="E22" i="12"/>
  <c r="F22" i="12"/>
  <c r="G22" i="12"/>
  <c r="E23" i="12"/>
  <c r="F23" i="12"/>
  <c r="G23" i="12"/>
  <c r="E24" i="12"/>
  <c r="F24" i="12"/>
  <c r="G24" i="12"/>
  <c r="E25" i="12"/>
  <c r="F25" i="12"/>
  <c r="G25" i="12"/>
  <c r="E26" i="12"/>
  <c r="F26" i="12"/>
  <c r="G26" i="12"/>
  <c r="E27" i="12"/>
  <c r="F27" i="12"/>
  <c r="G27" i="12"/>
  <c r="E28" i="12"/>
  <c r="F28" i="12"/>
  <c r="G28" i="12"/>
  <c r="E29" i="12"/>
  <c r="F29" i="12"/>
  <c r="G29" i="12"/>
  <c r="E30" i="12"/>
  <c r="F30" i="12"/>
  <c r="G30" i="12"/>
  <c r="E31" i="12"/>
  <c r="F31" i="12"/>
  <c r="G31" i="12"/>
  <c r="E32" i="12"/>
  <c r="F32" i="12"/>
  <c r="G32" i="12"/>
  <c r="E33" i="12"/>
  <c r="F33" i="12"/>
  <c r="G33" i="12"/>
  <c r="E34" i="12"/>
  <c r="F34" i="12"/>
  <c r="G34" i="12"/>
  <c r="E35" i="12"/>
  <c r="F35" i="12"/>
  <c r="G35" i="12"/>
  <c r="E36" i="12"/>
  <c r="F36" i="12"/>
  <c r="G36" i="12"/>
  <c r="E37" i="12"/>
  <c r="F37" i="12"/>
  <c r="G37" i="12"/>
  <c r="E38" i="12"/>
  <c r="F38" i="12"/>
  <c r="G38" i="12"/>
  <c r="E39" i="12"/>
  <c r="F39" i="12"/>
  <c r="G39" i="12"/>
  <c r="E40" i="12"/>
  <c r="F40" i="12"/>
  <c r="G40" i="12"/>
  <c r="E41" i="12"/>
  <c r="F41" i="12"/>
  <c r="G41" i="12"/>
  <c r="E42" i="12"/>
  <c r="F42" i="12"/>
  <c r="G42" i="12"/>
  <c r="E43" i="12"/>
  <c r="F43" i="12"/>
  <c r="G43" i="12"/>
  <c r="E44" i="12"/>
  <c r="F44" i="12"/>
  <c r="G44" i="12"/>
  <c r="E45" i="12"/>
  <c r="F45" i="12"/>
  <c r="G45" i="12"/>
  <c r="E46" i="12"/>
  <c r="F46" i="12"/>
  <c r="G46" i="12"/>
  <c r="E47" i="12"/>
  <c r="F47" i="12"/>
  <c r="G47" i="12"/>
  <c r="E48" i="12"/>
  <c r="F48" i="12"/>
  <c r="G48" i="12"/>
  <c r="E49" i="12"/>
  <c r="F49" i="12"/>
  <c r="G49" i="12"/>
  <c r="E50" i="12"/>
  <c r="F50" i="12"/>
  <c r="G50" i="12"/>
  <c r="E51" i="12"/>
  <c r="F51" i="12"/>
  <c r="G51" i="12"/>
  <c r="E52" i="12"/>
  <c r="F52" i="12"/>
  <c r="G52" i="12"/>
  <c r="E53" i="12"/>
  <c r="F53" i="12"/>
  <c r="G53" i="12"/>
  <c r="E54" i="12"/>
  <c r="F54" i="12"/>
  <c r="G54" i="12"/>
  <c r="E55" i="12"/>
  <c r="F55" i="12"/>
  <c r="G55" i="12"/>
  <c r="E56" i="12"/>
  <c r="F56" i="12"/>
  <c r="G56" i="12"/>
  <c r="E57" i="12"/>
  <c r="F57" i="12"/>
  <c r="G57" i="12"/>
  <c r="E58" i="12"/>
  <c r="F58" i="12"/>
  <c r="G58" i="12"/>
  <c r="E59" i="12"/>
  <c r="F59" i="12"/>
  <c r="G59" i="12"/>
  <c r="E60" i="12"/>
  <c r="F60" i="12"/>
  <c r="G60" i="12"/>
  <c r="E61" i="12"/>
  <c r="F61" i="12"/>
  <c r="G61" i="12"/>
  <c r="E62" i="12"/>
  <c r="F62" i="12"/>
  <c r="G62" i="12"/>
  <c r="E63" i="12"/>
  <c r="F63" i="12"/>
  <c r="G63" i="12"/>
  <c r="E64" i="12"/>
  <c r="F64" i="12"/>
  <c r="G64" i="12"/>
  <c r="E65" i="12"/>
  <c r="F65" i="12"/>
  <c r="G65" i="12"/>
  <c r="E66" i="12"/>
  <c r="F66" i="12"/>
  <c r="G66" i="12"/>
  <c r="E67" i="12"/>
  <c r="F67" i="12"/>
  <c r="G67" i="12"/>
  <c r="E68" i="12"/>
  <c r="F68" i="12"/>
  <c r="G68" i="12"/>
  <c r="E69" i="12"/>
  <c r="F69" i="12"/>
  <c r="G69" i="12"/>
  <c r="E70" i="12"/>
  <c r="F70" i="12"/>
  <c r="G70" i="12"/>
  <c r="E71" i="12"/>
  <c r="F71" i="12"/>
  <c r="G71" i="12"/>
  <c r="E72" i="12"/>
  <c r="F72" i="12"/>
  <c r="G72" i="12"/>
  <c r="E73" i="12"/>
  <c r="F73" i="12"/>
  <c r="G73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J2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A4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A2" i="3"/>
  <c r="A3" i="3" s="1"/>
  <c r="M5" i="1"/>
  <c r="K3" i="3"/>
  <c r="K5" i="3"/>
  <c r="K7" i="3"/>
  <c r="K9" i="3"/>
  <c r="K11" i="3"/>
  <c r="K13" i="3"/>
  <c r="K15" i="3"/>
  <c r="K17" i="3"/>
  <c r="K19" i="3"/>
  <c r="K21" i="3"/>
  <c r="K23" i="3"/>
  <c r="K25" i="3"/>
  <c r="K27" i="3"/>
  <c r="K29" i="3"/>
  <c r="K31" i="3"/>
  <c r="K33" i="3"/>
  <c r="K35" i="3"/>
  <c r="K37" i="3"/>
  <c r="K39" i="3"/>
  <c r="K41" i="3"/>
  <c r="K43" i="3"/>
  <c r="K45" i="3"/>
  <c r="K47" i="3"/>
  <c r="K49" i="3"/>
  <c r="K51" i="3"/>
  <c r="K53" i="3"/>
  <c r="K55" i="3"/>
  <c r="K57" i="3"/>
  <c r="K59" i="3"/>
  <c r="K61" i="3"/>
  <c r="K63" i="3"/>
  <c r="K65" i="3"/>
  <c r="K67" i="3"/>
  <c r="K69" i="3"/>
  <c r="K71" i="3"/>
  <c r="K73" i="3"/>
  <c r="C9" i="3"/>
  <c r="C11" i="3"/>
  <c r="C13" i="3"/>
  <c r="C15" i="3"/>
  <c r="C17" i="3"/>
  <c r="C19" i="3"/>
  <c r="C21" i="3"/>
  <c r="C23" i="3"/>
  <c r="C25" i="3"/>
  <c r="C27" i="3"/>
  <c r="C29" i="3"/>
  <c r="C31" i="3"/>
  <c r="C33" i="3"/>
  <c r="C35" i="3"/>
  <c r="C37" i="3"/>
  <c r="C39" i="3"/>
  <c r="C41" i="3"/>
  <c r="C43" i="3"/>
  <c r="C45" i="3"/>
  <c r="C47" i="3"/>
  <c r="C49" i="3"/>
  <c r="C51" i="3"/>
  <c r="C53" i="3"/>
  <c r="C55" i="3"/>
  <c r="C57" i="3"/>
  <c r="C59" i="3"/>
  <c r="C61" i="3"/>
  <c r="C63" i="3"/>
  <c r="C65" i="3"/>
  <c r="C67" i="3"/>
  <c r="C69" i="3"/>
  <c r="C71" i="3"/>
  <c r="C73" i="3"/>
  <c r="C7" i="3"/>
  <c r="C5" i="3"/>
  <c r="D73" i="3"/>
  <c r="D72" i="3"/>
  <c r="D70" i="3"/>
  <c r="D71" i="3" s="1"/>
  <c r="D68" i="3"/>
  <c r="D69" i="3" s="1"/>
  <c r="D66" i="3"/>
  <c r="D67" i="3" s="1"/>
  <c r="D64" i="3"/>
  <c r="D65" i="3" s="1"/>
  <c r="D62" i="3"/>
  <c r="D63" i="3" s="1"/>
  <c r="D60" i="3"/>
  <c r="D61" i="3" s="1"/>
  <c r="D58" i="3"/>
  <c r="D59" i="3" s="1"/>
  <c r="D56" i="3"/>
  <c r="D57" i="3" s="1"/>
  <c r="D54" i="3"/>
  <c r="D55" i="3" s="1"/>
  <c r="D52" i="3"/>
  <c r="D53" i="3" s="1"/>
  <c r="D50" i="3"/>
  <c r="D51" i="3" s="1"/>
  <c r="D48" i="3"/>
  <c r="D49" i="3" s="1"/>
  <c r="D46" i="3"/>
  <c r="D47" i="3" s="1"/>
  <c r="D44" i="3"/>
  <c r="D45" i="3" s="1"/>
  <c r="D42" i="3"/>
  <c r="D43" i="3" s="1"/>
  <c r="D40" i="3"/>
  <c r="D41" i="3" s="1"/>
  <c r="D38" i="3"/>
  <c r="D39" i="3" s="1"/>
  <c r="D36" i="3"/>
  <c r="D37" i="3" s="1"/>
  <c r="D34" i="3"/>
  <c r="D35" i="3" s="1"/>
  <c r="D32" i="3"/>
  <c r="D33" i="3" s="1"/>
  <c r="D30" i="3"/>
  <c r="D31" i="3" s="1"/>
  <c r="D28" i="3"/>
  <c r="D29" i="3" s="1"/>
  <c r="D26" i="3"/>
  <c r="D27" i="3" s="1"/>
  <c r="D24" i="3"/>
  <c r="D25" i="3" s="1"/>
  <c r="D22" i="3"/>
  <c r="D23" i="3" s="1"/>
  <c r="D20" i="3"/>
  <c r="D21" i="3" s="1"/>
  <c r="D18" i="3"/>
  <c r="D19" i="3" s="1"/>
  <c r="D16" i="3"/>
  <c r="D17" i="3" s="1"/>
  <c r="D14" i="3"/>
  <c r="D15" i="3" s="1"/>
  <c r="D12" i="3"/>
  <c r="D13" i="3" s="1"/>
  <c r="D10" i="3"/>
  <c r="D11" i="3" s="1"/>
  <c r="D8" i="3"/>
  <c r="D9" i="3" s="1"/>
  <c r="D6" i="3"/>
  <c r="D7" i="3" s="1"/>
  <c r="D4" i="3"/>
  <c r="D5" i="3" s="1"/>
  <c r="D3" i="3"/>
  <c r="C3" i="3"/>
  <c r="D2" i="3"/>
  <c r="U3" i="3"/>
  <c r="B27" i="9" l="1"/>
  <c r="B28" i="9"/>
  <c r="B29" i="9"/>
  <c r="D29" i="9" s="1"/>
  <c r="B30" i="9"/>
  <c r="D30" i="9" s="1"/>
  <c r="B31" i="9"/>
  <c r="D31" i="9" s="1"/>
  <c r="B32" i="9"/>
  <c r="D32" i="9" s="1"/>
  <c r="B33" i="9"/>
  <c r="D33" i="9" s="1"/>
  <c r="B34" i="9"/>
  <c r="D34" i="9" s="1"/>
  <c r="B35" i="9"/>
  <c r="D35" i="9" s="1"/>
  <c r="B36" i="9"/>
  <c r="D36" i="9" s="1"/>
  <c r="B37" i="9"/>
  <c r="D37" i="9" s="1"/>
  <c r="B38" i="9"/>
  <c r="B39" i="9"/>
  <c r="B40" i="9"/>
  <c r="B41" i="9"/>
  <c r="D41" i="9" s="1"/>
  <c r="B42" i="9"/>
  <c r="D42" i="9" s="1"/>
  <c r="B43" i="9"/>
  <c r="B44" i="9"/>
  <c r="D44" i="9" s="1"/>
  <c r="B45" i="9"/>
  <c r="D45" i="9" s="1"/>
  <c r="B46" i="9"/>
  <c r="B47" i="9"/>
  <c r="D47" i="9" s="1"/>
  <c r="B48" i="9"/>
  <c r="D48" i="9" s="1"/>
  <c r="B49" i="9"/>
  <c r="D49" i="9" s="1"/>
  <c r="B50" i="9"/>
  <c r="B51" i="9"/>
  <c r="B52" i="9"/>
  <c r="B53" i="9"/>
  <c r="D53" i="9" s="1"/>
  <c r="B54" i="9"/>
  <c r="D54" i="9" s="1"/>
  <c r="B55" i="9"/>
  <c r="B56" i="9"/>
  <c r="B57" i="9"/>
  <c r="B58" i="9"/>
  <c r="D58" i="9" s="1"/>
  <c r="B59" i="9"/>
  <c r="D59" i="9" s="1"/>
  <c r="B60" i="9"/>
  <c r="D60" i="9" s="1"/>
  <c r="B20" i="9"/>
  <c r="D20" i="9" s="1"/>
  <c r="B21" i="9"/>
  <c r="D21" i="9" s="1"/>
  <c r="B22" i="9"/>
  <c r="D22" i="9" s="1"/>
  <c r="B23" i="9"/>
  <c r="B24" i="9"/>
  <c r="B25" i="9"/>
  <c r="B26" i="9"/>
  <c r="D26" i="9" s="1"/>
  <c r="B19" i="9"/>
  <c r="D57" i="9"/>
  <c r="D55" i="9"/>
  <c r="D52" i="9"/>
  <c r="D51" i="9"/>
  <c r="D50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18" i="9"/>
  <c r="D19" i="9"/>
  <c r="D23" i="9"/>
  <c r="D24" i="9"/>
  <c r="D25" i="9"/>
  <c r="D27" i="9"/>
  <c r="D28" i="9"/>
  <c r="D38" i="9"/>
  <c r="D39" i="9"/>
  <c r="D40" i="9"/>
  <c r="D43" i="9"/>
  <c r="D46" i="9"/>
  <c r="D56" i="9"/>
  <c r="A49" i="9"/>
  <c r="A50" i="9"/>
  <c r="A51" i="9"/>
  <c r="A52" i="9"/>
  <c r="A53" i="9"/>
  <c r="A54" i="9"/>
  <c r="A55" i="9"/>
  <c r="A56" i="9"/>
  <c r="A57" i="9"/>
  <c r="A58" i="9"/>
  <c r="A59" i="9"/>
  <c r="A60" i="9"/>
  <c r="A39" i="9"/>
  <c r="A40" i="9"/>
  <c r="A41" i="9"/>
  <c r="A42" i="9"/>
  <c r="A43" i="9"/>
  <c r="A44" i="9"/>
  <c r="A45" i="9"/>
  <c r="A46" i="9"/>
  <c r="A47" i="9"/>
  <c r="A48" i="9"/>
  <c r="A30" i="9"/>
  <c r="A31" i="9"/>
  <c r="A32" i="9"/>
  <c r="A33" i="9"/>
  <c r="A34" i="9"/>
  <c r="A35" i="9"/>
  <c r="A36" i="9"/>
  <c r="A37" i="9"/>
  <c r="A38" i="9"/>
  <c r="F58" i="9"/>
  <c r="F59" i="9"/>
  <c r="F60" i="9"/>
  <c r="F46" i="9"/>
  <c r="F47" i="9"/>
  <c r="F48" i="9"/>
  <c r="F49" i="9"/>
  <c r="F50" i="9"/>
  <c r="F51" i="9"/>
  <c r="F52" i="9"/>
  <c r="F53" i="9"/>
  <c r="F54" i="9"/>
  <c r="F55" i="9"/>
  <c r="F56" i="9"/>
  <c r="F57" i="9"/>
  <c r="F39" i="9"/>
  <c r="F43" i="9"/>
  <c r="F44" i="9"/>
  <c r="F45" i="9"/>
  <c r="F36" i="9"/>
  <c r="F35" i="9"/>
  <c r="F30" i="9"/>
  <c r="F31" i="9"/>
  <c r="F32" i="9"/>
  <c r="F33" i="9"/>
  <c r="F34" i="9"/>
  <c r="F21" i="9"/>
  <c r="F22" i="9"/>
  <c r="F23" i="9"/>
  <c r="F24" i="9"/>
  <c r="F25" i="9"/>
  <c r="F26" i="9"/>
  <c r="F27" i="9"/>
  <c r="F28" i="9"/>
  <c r="F29" i="9"/>
  <c r="A21" i="9"/>
  <c r="A22" i="9"/>
  <c r="A23" i="9"/>
  <c r="A24" i="9"/>
  <c r="A25" i="9"/>
  <c r="A26" i="9"/>
  <c r="A27" i="9"/>
  <c r="A28" i="9"/>
  <c r="A29" i="9"/>
  <c r="A20" i="9"/>
  <c r="F20" i="9"/>
  <c r="D18" i="9"/>
  <c r="K7" i="10"/>
  <c r="E7" i="10"/>
  <c r="E6" i="10"/>
  <c r="E5" i="10"/>
  <c r="E4" i="10"/>
  <c r="E3" i="10"/>
  <c r="K2" i="10"/>
  <c r="E2" i="10"/>
  <c r="J2" i="10"/>
  <c r="I2" i="10"/>
  <c r="D2" i="10"/>
  <c r="C2" i="10"/>
  <c r="C14" i="9"/>
  <c r="C11" i="9"/>
  <c r="C8" i="9" a="1"/>
  <c r="C8" i="9" s="1"/>
  <c r="K23" i="4"/>
  <c r="K11" i="4"/>
  <c r="F117" i="8"/>
  <c r="F107" i="8" s="1"/>
  <c r="A109" i="8" s="1"/>
  <c r="B106" i="8"/>
  <c r="F96" i="8"/>
  <c r="F97" i="8"/>
  <c r="B86" i="8"/>
  <c r="F56" i="8"/>
  <c r="F57" i="8"/>
  <c r="B46" i="8"/>
  <c r="F37" i="8"/>
  <c r="F36" i="8"/>
  <c r="B26" i="8"/>
  <c r="A69" i="8"/>
  <c r="B68" i="8"/>
  <c r="A68" i="8"/>
  <c r="B67" i="8"/>
  <c r="F68" i="8"/>
  <c r="A66" i="8" s="1"/>
  <c r="B66" i="8"/>
  <c r="B65" i="8"/>
  <c r="A65" i="8"/>
  <c r="B64" i="8"/>
  <c r="A64" i="8"/>
  <c r="B63" i="8"/>
  <c r="D29" i="1"/>
  <c r="C29" i="1"/>
  <c r="D30" i="1"/>
  <c r="C30" i="1"/>
  <c r="D27" i="1"/>
  <c r="C27" i="1"/>
  <c r="D26" i="1"/>
  <c r="C26" i="1"/>
  <c r="D25" i="1"/>
  <c r="C25" i="1"/>
  <c r="A22" i="1"/>
  <c r="A23" i="1" s="1"/>
  <c r="A24" i="1" s="1"/>
  <c r="A25" i="1" s="1"/>
  <c r="A26" i="1" s="1"/>
  <c r="A27" i="1" s="1"/>
  <c r="A28" i="1" s="1"/>
  <c r="D23" i="1"/>
  <c r="C23" i="1"/>
  <c r="D22" i="1"/>
  <c r="C22" i="1"/>
  <c r="A9" i="8"/>
  <c r="B8" i="8"/>
  <c r="A8" i="8"/>
  <c r="B7" i="8"/>
  <c r="B6" i="8"/>
  <c r="B5" i="8"/>
  <c r="A5" i="8"/>
  <c r="B4" i="8"/>
  <c r="A4" i="8"/>
  <c r="B3" i="8"/>
  <c r="F8" i="8"/>
  <c r="A6" i="8" s="1"/>
  <c r="F71" i="8" l="1"/>
  <c r="F72" i="8"/>
  <c r="F11" i="8" a="1"/>
  <c r="F11" i="8" s="1"/>
  <c r="F46" i="8"/>
  <c r="F85" i="8"/>
  <c r="A84" i="8" s="1"/>
  <c r="F104" i="8"/>
  <c r="B107" i="8" s="1"/>
  <c r="F105" i="8"/>
  <c r="A105" i="8" s="1"/>
  <c r="F106" i="8"/>
  <c r="F109" i="8"/>
  <c r="B105" i="8" s="1"/>
  <c r="F49" i="8"/>
  <c r="B45" i="8" s="1"/>
  <c r="F45" i="8"/>
  <c r="A45" i="8" s="1"/>
  <c r="F103" i="8"/>
  <c r="F83" i="8"/>
  <c r="F89" i="8"/>
  <c r="B85" i="8" s="1"/>
  <c r="F84" i="8"/>
  <c r="B88" i="8" s="1"/>
  <c r="F108" i="8"/>
  <c r="F23" i="8"/>
  <c r="A29" i="1"/>
  <c r="A108" i="8"/>
  <c r="F88" i="8"/>
  <c r="F87" i="8"/>
  <c r="A89" i="8" s="1"/>
  <c r="F86" i="8"/>
  <c r="F44" i="8"/>
  <c r="B48" i="8" s="1"/>
  <c r="A85" i="8"/>
  <c r="F43" i="8"/>
  <c r="F48" i="8"/>
  <c r="F47" i="8"/>
  <c r="A49" i="8" s="1"/>
  <c r="F26" i="8"/>
  <c r="F25" i="8"/>
  <c r="A24" i="8" s="1"/>
  <c r="F24" i="8"/>
  <c r="B28" i="8" s="1"/>
  <c r="F29" i="8"/>
  <c r="B25" i="8" s="1"/>
  <c r="F28" i="8"/>
  <c r="F27" i="8"/>
  <c r="A67" i="8"/>
  <c r="F74" i="8" s="1"/>
  <c r="A7" i="8"/>
  <c r="F14" i="8" s="1"/>
  <c r="F12" i="8"/>
  <c r="B4" i="1"/>
  <c r="C2" i="3" s="1"/>
  <c r="C4" i="1"/>
  <c r="D4" i="1"/>
  <c r="E2" i="3" s="1"/>
  <c r="B5" i="1"/>
  <c r="C4" i="3" s="1"/>
  <c r="C5" i="1"/>
  <c r="D5" i="1"/>
  <c r="E4" i="3" s="1"/>
  <c r="B6" i="1"/>
  <c r="C6" i="3" s="1"/>
  <c r="C6" i="1"/>
  <c r="D6" i="1"/>
  <c r="E5" i="3" s="1"/>
  <c r="B7" i="1"/>
  <c r="C8" i="3" s="1"/>
  <c r="C7" i="1"/>
  <c r="D7" i="1"/>
  <c r="E6" i="3" s="1"/>
  <c r="B8" i="1"/>
  <c r="C10" i="3" s="1"/>
  <c r="C8" i="1"/>
  <c r="D8" i="1"/>
  <c r="E7" i="3" s="1"/>
  <c r="B9" i="1"/>
  <c r="C12" i="3" s="1"/>
  <c r="C9" i="1"/>
  <c r="D9" i="1"/>
  <c r="E8" i="3" s="1"/>
  <c r="B10" i="1"/>
  <c r="C14" i="3" s="1"/>
  <c r="C10" i="1"/>
  <c r="D10" i="1"/>
  <c r="E9" i="3" s="1"/>
  <c r="B11" i="1"/>
  <c r="C16" i="3" s="1"/>
  <c r="C11" i="1"/>
  <c r="D11" i="1"/>
  <c r="E10" i="3" s="1"/>
  <c r="B12" i="1"/>
  <c r="C18" i="3" s="1"/>
  <c r="C12" i="1"/>
  <c r="D12" i="1"/>
  <c r="E11" i="3" s="1"/>
  <c r="B13" i="1"/>
  <c r="C20" i="3" s="1"/>
  <c r="C13" i="1"/>
  <c r="D13" i="1"/>
  <c r="E12" i="3" s="1"/>
  <c r="B14" i="1"/>
  <c r="C22" i="3" s="1"/>
  <c r="C14" i="1"/>
  <c r="D14" i="1"/>
  <c r="E13" i="3" s="1"/>
  <c r="B15" i="1"/>
  <c r="C24" i="3" s="1"/>
  <c r="C15" i="1"/>
  <c r="D15" i="1"/>
  <c r="E14" i="3" s="1"/>
  <c r="B16" i="1"/>
  <c r="C26" i="3" s="1"/>
  <c r="C16" i="1"/>
  <c r="D16" i="1"/>
  <c r="E15" i="3" s="1"/>
  <c r="B17" i="1"/>
  <c r="C28" i="3" s="1"/>
  <c r="C17" i="1"/>
  <c r="D17" i="1"/>
  <c r="E16" i="3" s="1"/>
  <c r="B18" i="1"/>
  <c r="C30" i="3" s="1"/>
  <c r="C18" i="1"/>
  <c r="D18" i="1"/>
  <c r="E17" i="3" s="1"/>
  <c r="B19" i="1"/>
  <c r="C32" i="3" s="1"/>
  <c r="C19" i="1"/>
  <c r="D19" i="1"/>
  <c r="E18" i="3" s="1"/>
  <c r="B20" i="1"/>
  <c r="C34" i="3" s="1"/>
  <c r="C20" i="1"/>
  <c r="D20" i="1"/>
  <c r="E19" i="3" s="1"/>
  <c r="B21" i="1"/>
  <c r="C21" i="1"/>
  <c r="D21" i="1"/>
  <c r="E20" i="3" s="1"/>
  <c r="C24" i="1"/>
  <c r="D24" i="1"/>
  <c r="C28" i="1"/>
  <c r="D28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B40" i="1"/>
  <c r="C40" i="1"/>
  <c r="D40" i="1"/>
  <c r="B41" i="1"/>
  <c r="C41" i="1"/>
  <c r="D41" i="1"/>
  <c r="B42" i="1"/>
  <c r="C42" i="1"/>
  <c r="D42" i="1"/>
  <c r="B43" i="1"/>
  <c r="C43" i="1"/>
  <c r="D43" i="1"/>
  <c r="B44" i="1"/>
  <c r="C44" i="1"/>
  <c r="D44" i="1"/>
  <c r="B45" i="1"/>
  <c r="C45" i="1"/>
  <c r="D45" i="1"/>
  <c r="D3" i="1"/>
  <c r="C3" i="1"/>
  <c r="B3" i="1"/>
  <c r="F52" i="8" l="1"/>
  <c r="F51" i="8"/>
  <c r="B104" i="8"/>
  <c r="F112" i="8"/>
  <c r="F111" i="8"/>
  <c r="B23" i="8"/>
  <c r="F32" i="8"/>
  <c r="F31" i="8"/>
  <c r="B84" i="8"/>
  <c r="F92" i="8"/>
  <c r="F91" i="8"/>
  <c r="A87" i="8"/>
  <c r="A48" i="8"/>
  <c r="B83" i="8"/>
  <c r="A44" i="8"/>
  <c r="A47" i="8"/>
  <c r="A86" i="8"/>
  <c r="B87" i="8"/>
  <c r="A107" i="8"/>
  <c r="A104" i="8"/>
  <c r="A106" i="8"/>
  <c r="B108" i="8"/>
  <c r="A88" i="8"/>
  <c r="B103" i="8"/>
  <c r="A30" i="1"/>
  <c r="B47" i="8"/>
  <c r="A46" i="8"/>
  <c r="B44" i="8"/>
  <c r="B43" i="8"/>
  <c r="B27" i="8"/>
  <c r="A26" i="8"/>
  <c r="A25" i="8"/>
  <c r="B24" i="8"/>
  <c r="A29" i="8"/>
  <c r="A28" i="8"/>
  <c r="A27" i="8"/>
  <c r="C36" i="3"/>
  <c r="E21" i="1"/>
  <c r="B22" i="1" s="1"/>
  <c r="E22" i="1" s="1"/>
  <c r="B23" i="1" s="1"/>
  <c r="E23" i="1" s="1"/>
  <c r="B24" i="1" s="1"/>
  <c r="E24" i="1" s="1"/>
  <c r="B25" i="1" s="1"/>
  <c r="E25" i="1" s="1"/>
  <c r="B26" i="1" s="1"/>
  <c r="E26" i="1" s="1"/>
  <c r="B27" i="1" s="1"/>
  <c r="E27" i="1" s="1"/>
  <c r="B28" i="1" s="1"/>
  <c r="E28" i="1" s="1"/>
  <c r="B29" i="1" s="1"/>
  <c r="E29" i="1" s="1"/>
  <c r="B30" i="1" s="1"/>
  <c r="F114" i="8" l="1"/>
  <c r="F54" i="8"/>
  <c r="F94" i="8"/>
  <c r="A31" i="1"/>
  <c r="F34" i="8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M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FelipeSBrandao</author>
  </authors>
  <commentList>
    <comment ref="A1" authorId="0" shapeId="0" xr:uid="{36D0C821-BC73-462C-B565-7B513E4103FE}">
      <text>
        <r>
          <rPr>
            <b/>
            <sz val="9"/>
            <color indexed="81"/>
            <rFont val="Tahoma"/>
            <family val="2"/>
          </rPr>
          <t>FelipeSBrandao:</t>
        </r>
        <r>
          <rPr>
            <sz val="9"/>
            <color indexed="81"/>
            <rFont val="Tahoma"/>
            <family val="2"/>
          </rPr>
          <t xml:space="preserve">
Frame_name in SAP is (Frame - 1)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<sst xmlns="http://schemas.openxmlformats.org/spreadsheetml/2006/main" count="575" uniqueCount="308">
  <si>
    <t>xi</t>
  </si>
  <si>
    <t>yi</t>
  </si>
  <si>
    <t>zi</t>
  </si>
  <si>
    <t>xf</t>
  </si>
  <si>
    <t>yf</t>
  </si>
  <si>
    <t>zf</t>
  </si>
  <si>
    <t>Node</t>
  </si>
  <si>
    <t>Frame</t>
  </si>
  <si>
    <t>Ux</t>
  </si>
  <si>
    <t>Uy</t>
  </si>
  <si>
    <t>Rx</t>
  </si>
  <si>
    <t>Ry</t>
  </si>
  <si>
    <t>Rz</t>
  </si>
  <si>
    <t>Note</t>
  </si>
  <si>
    <t>Support 14 - Mastro</t>
  </si>
  <si>
    <t>Support 15</t>
  </si>
  <si>
    <t>LOAD ENCHIMENTOS</t>
  </si>
  <si>
    <t>rho_concrete</t>
  </si>
  <si>
    <t>kN/m3</t>
  </si>
  <si>
    <t>Lane_width</t>
  </si>
  <si>
    <t>m</t>
  </si>
  <si>
    <t>load enchimento</t>
  </si>
  <si>
    <t>=rho_concrete * Lane_width * thickness [kN/m]</t>
  </si>
  <si>
    <t>number of Enchimentos =</t>
  </si>
  <si>
    <t>LOADS PATTERN</t>
  </si>
  <si>
    <t>DEAD</t>
  </si>
  <si>
    <t>PAV</t>
  </si>
  <si>
    <t>GUARDA RODAS</t>
  </si>
  <si>
    <t>DUTOS + PLACAS</t>
  </si>
  <si>
    <t>PROTENSAO</t>
  </si>
  <si>
    <t>LOAD CASE 2 - LINEAR STATIC ANALYSIS</t>
  </si>
  <si>
    <t>ENCHIMENTOS</t>
  </si>
  <si>
    <t>X</t>
  </si>
  <si>
    <t>Y</t>
  </si>
  <si>
    <t>RADIUS</t>
  </si>
  <si>
    <t>heightBeamLeft=</t>
  </si>
  <si>
    <t>heightBeamRight=</t>
  </si>
  <si>
    <t>widthBeamLeft=</t>
  </si>
  <si>
    <t>widthBeamRight=</t>
  </si>
  <si>
    <t>DeckWidth=</t>
  </si>
  <si>
    <t>SlabWidth=</t>
  </si>
  <si>
    <t>SlabHeigth=</t>
  </si>
  <si>
    <t>Xcg=</t>
  </si>
  <si>
    <t>Ycg=</t>
  </si>
  <si>
    <t>Number of Points=</t>
  </si>
  <si>
    <t>Notes</t>
  </si>
  <si>
    <t>SECAO TRANSVERSAL TIPO - PONTE 2 (from 0m until 128m)</t>
  </si>
  <si>
    <t>Section</t>
  </si>
  <si>
    <t>deck_POF</t>
  </si>
  <si>
    <t>Name=</t>
  </si>
  <si>
    <t>deck_POF_VAR1</t>
  </si>
  <si>
    <t>deck_POF_VAR2</t>
  </si>
  <si>
    <t>deck_POF_Mastro</t>
  </si>
  <si>
    <t>deck_POF_VAR3</t>
  </si>
  <si>
    <t>deck_POF_VAR4</t>
  </si>
  <si>
    <t>deck_POF_VAR5</t>
  </si>
  <si>
    <t>deck_POF_129_15</t>
  </si>
  <si>
    <t>dist1</t>
  </si>
  <si>
    <t>dist2</t>
  </si>
  <si>
    <t>SECAO TRANSVERSAL INTERMEDIATE - PONTE 2 (Section at 129.15 m)</t>
  </si>
  <si>
    <t>SECAO TRANSVERSAL INTERMEDIATE - PONTE 2 (Section at 135 m)</t>
  </si>
  <si>
    <t>deck_POF_135</t>
  </si>
  <si>
    <t>SECAO TRANSVERSAL MASTRO - PONTE 2 (from141m to 158.5m )</t>
  </si>
  <si>
    <t>SECAO TRANSVERSAL INTERMEDIATE - PONTE 2 (Section at 164m)</t>
  </si>
  <si>
    <t>deck_POF_164</t>
  </si>
  <si>
    <t>SECAO TRANSVERSAL INTERMEDIATE - PONTE 2 (Section at 169.35m)</t>
  </si>
  <si>
    <t>deck_POF_169_35</t>
  </si>
  <si>
    <t>m2-18 / m2-17</t>
  </si>
  <si>
    <t>r2-02 / r2-03</t>
  </si>
  <si>
    <t>r2-03 / r2-04</t>
  </si>
  <si>
    <t>r2-05 / r2-06</t>
  </si>
  <si>
    <t>r2-06 / r2-07</t>
  </si>
  <si>
    <t>r2-07 / r2-08</t>
  </si>
  <si>
    <t>r2-08 / r2-09</t>
  </si>
  <si>
    <t>r2-04 / r2-05</t>
  </si>
  <si>
    <t>r2-09 / r2-10</t>
  </si>
  <si>
    <t>Nodei</t>
  </si>
  <si>
    <t>Nodef</t>
  </si>
  <si>
    <t>Group</t>
  </si>
  <si>
    <t>Area</t>
  </si>
  <si>
    <t>Uz (Max)</t>
  </si>
  <si>
    <t>Uz (min)</t>
  </si>
  <si>
    <t>STAGED LOAD CASE</t>
  </si>
  <si>
    <t>My operation</t>
  </si>
  <si>
    <t>DEAD+OTHERS+PROT</t>
  </si>
  <si>
    <t>1 = Add structure</t>
  </si>
  <si>
    <t>2 = Remove structure</t>
  </si>
  <si>
    <t>3 = Load objects if new</t>
  </si>
  <si>
    <t>4 = Load objects</t>
  </si>
  <si>
    <t>5 = Change section properties</t>
  </si>
  <si>
    <t>6 = Change section property modifiers</t>
  </si>
  <si>
    <t>7 = Change releases</t>
  </si>
  <si>
    <t>11 = Change section properties and age</t>
  </si>
  <si>
    <t>My Operation</t>
  </si>
  <si>
    <t>Cable</t>
  </si>
  <si>
    <t>Tendon</t>
  </si>
  <si>
    <t>Solid</t>
  </si>
  <si>
    <t>Link</t>
  </si>
  <si>
    <t>Point</t>
  </si>
  <si>
    <t>Object Type</t>
  </si>
  <si>
    <t>ObjectName</t>
  </si>
  <si>
    <t>ALL</t>
  </si>
  <si>
    <t>Age</t>
  </si>
  <si>
    <t>Number of Operations</t>
  </si>
  <si>
    <t>MyType</t>
  </si>
  <si>
    <t>Load</t>
  </si>
  <si>
    <t>MyName</t>
  </si>
  <si>
    <t>DUTOPLACATUBOS</t>
  </si>
  <si>
    <t>GUARDARODAS</t>
  </si>
  <si>
    <t>PAVIMENTACAO</t>
  </si>
  <si>
    <t>DEAD+OTHERS+PROT+ENC</t>
  </si>
  <si>
    <t>PROT</t>
  </si>
  <si>
    <t>MySF</t>
  </si>
  <si>
    <t>Number of Cases</t>
  </si>
  <si>
    <t>DEAD+PAV+PROT</t>
  </si>
  <si>
    <t>LOAD CASES DEFINITIONS</t>
  </si>
  <si>
    <t>Name</t>
  </si>
  <si>
    <t>MyDuration</t>
  </si>
  <si>
    <t>MyOutput</t>
  </si>
  <si>
    <t>MyOutputName</t>
  </si>
  <si>
    <t>Results_Case_1</t>
  </si>
  <si>
    <t>Case_1</t>
  </si>
  <si>
    <t>MyComment</t>
  </si>
  <si>
    <t>Results_Case_2</t>
  </si>
  <si>
    <t>Case_2</t>
  </si>
  <si>
    <t>Case_3</t>
  </si>
  <si>
    <t>Results_Case_3</t>
  </si>
  <si>
    <t>CABLE LOADS</t>
  </si>
  <si>
    <t>All the cable loads are in the tab "Stays"</t>
  </si>
  <si>
    <t>PAVIMENTAÇÃO</t>
  </si>
  <si>
    <t>asphaltThickness=</t>
  </si>
  <si>
    <t>[m]</t>
  </si>
  <si>
    <t>rhoPav=</t>
  </si>
  <si>
    <t xml:space="preserve">[kN/m3] </t>
  </si>
  <si>
    <t>LanesWidth=</t>
  </si>
  <si>
    <t>pavLoad=</t>
  </si>
  <si>
    <t>[kN/m]</t>
  </si>
  <si>
    <t>guardaRodasLoad</t>
  </si>
  <si>
    <t>DUTOS, PLACAS E TUBULAÇÕES</t>
  </si>
  <si>
    <t>dutoPlacaTubLoad</t>
  </si>
  <si>
    <t>[Kn/M]</t>
  </si>
  <si>
    <t>Description</t>
  </si>
  <si>
    <t>Insertion Point</t>
  </si>
  <si>
    <t>Section variation starts increasing 1.15m before the end of this frame</t>
  </si>
  <si>
    <t>m2-02 /m2-01</t>
  </si>
  <si>
    <t>m2-01 / m2-02</t>
  </si>
  <si>
    <t>At 141m, the section has its final variation</t>
  </si>
  <si>
    <t>At 158.5m, the section starts decreasing</t>
  </si>
  <si>
    <t>Section continues decreasing</t>
  </si>
  <si>
    <t>r2-01 / r2-02</t>
  </si>
  <si>
    <t>Section variation finishes 1.15m after the start of this frame</t>
  </si>
  <si>
    <t>Note1</t>
  </si>
  <si>
    <t>NUMBER OF SECTIONS</t>
  </si>
  <si>
    <t>NUMBER OF NON PRISMATIC SECTIONS</t>
  </si>
  <si>
    <t>between 122.15 m and 129.15 m</t>
  </si>
  <si>
    <t>StartSec(0)</t>
  </si>
  <si>
    <t>EndSec(0)</t>
  </si>
  <si>
    <t>MyLength(0)</t>
  </si>
  <si>
    <t>MyType(0)</t>
  </si>
  <si>
    <t>EI33(0)</t>
  </si>
  <si>
    <t>EI22(0)</t>
  </si>
  <si>
    <t>n segments</t>
  </si>
  <si>
    <t>StartSec(1)</t>
  </si>
  <si>
    <t>EndSec(1)</t>
  </si>
  <si>
    <t>MyLength(1)</t>
  </si>
  <si>
    <t>MyType(1)</t>
  </si>
  <si>
    <t>EI33(1)</t>
  </si>
  <si>
    <t>EI22(1)</t>
  </si>
  <si>
    <t>default</t>
  </si>
  <si>
    <t>deck_POF_VAR6</t>
  </si>
  <si>
    <t>offset Z</t>
  </si>
  <si>
    <t>Section continues increasing</t>
  </si>
  <si>
    <t>Insertion Point offset</t>
  </si>
  <si>
    <t>bottom</t>
  </si>
  <si>
    <t>bottom+0.429</t>
  </si>
  <si>
    <t>between 129.15 m and 135 m</t>
  </si>
  <si>
    <t>between 135 m and 141 m</t>
  </si>
  <si>
    <t>between 158.5 m and 164 m</t>
  </si>
  <si>
    <t>between 164 m and 169.35 m</t>
  </si>
  <si>
    <t>between 169.35 m and 169.35 m</t>
  </si>
  <si>
    <t>Uz (max and min)</t>
  </si>
  <si>
    <t>Material</t>
  </si>
  <si>
    <t>CONCRETE</t>
  </si>
  <si>
    <t>E=</t>
  </si>
  <si>
    <t>kn/m2</t>
  </si>
  <si>
    <t>weight/volume=</t>
  </si>
  <si>
    <t>kn/m3</t>
  </si>
  <si>
    <t>support15</t>
  </si>
  <si>
    <t>m2-17 / m2-16</t>
  </si>
  <si>
    <t>load enc i</t>
  </si>
  <si>
    <t>load enc f</t>
  </si>
  <si>
    <t>m2-16 / m2-15</t>
  </si>
  <si>
    <t>m2-15 / m2-14</t>
  </si>
  <si>
    <t>m2-14 / m2-13</t>
  </si>
  <si>
    <t>m2-13 / m2-12</t>
  </si>
  <si>
    <t>m2-12 / m2-11</t>
  </si>
  <si>
    <t>m2-11 / m2-10</t>
  </si>
  <si>
    <t>m2-10 / m2-09</t>
  </si>
  <si>
    <t>m2-09 / m2-08</t>
  </si>
  <si>
    <t>m2-08 / m2-07</t>
  </si>
  <si>
    <t>m2-07 / m2-06</t>
  </si>
  <si>
    <t>m2-06 / m2-05</t>
  </si>
  <si>
    <t>m2-05 / m2-04</t>
  </si>
  <si>
    <t>m2-04 / m2-03</t>
  </si>
  <si>
    <t>m2-03 / m2-02</t>
  </si>
  <si>
    <t>r2-10  / r2-11</t>
  </si>
  <si>
    <t>r2-11 / r2-12</t>
  </si>
  <si>
    <t>r2-12 / r2-13</t>
  </si>
  <si>
    <t>r2-13 / r2-14</t>
  </si>
  <si>
    <t>r2-14 / r2-15</t>
  </si>
  <si>
    <t>r2-15 / r2-16</t>
  </si>
  <si>
    <t>r2-16 / r2-17</t>
  </si>
  <si>
    <t>r2-17 / r2-18</t>
  </si>
  <si>
    <t>r2-18 / end</t>
  </si>
  <si>
    <t>Esp i</t>
  </si>
  <si>
    <t>Esp f</t>
  </si>
  <si>
    <t>dist between cables=</t>
  </si>
  <si>
    <t>dist/2=</t>
  </si>
  <si>
    <t>m2e-18</t>
  </si>
  <si>
    <t>m2i-18</t>
  </si>
  <si>
    <t>m2e-17</t>
  </si>
  <si>
    <t>m2i-17</t>
  </si>
  <si>
    <t>m2e-16</t>
  </si>
  <si>
    <t>m2i-16</t>
  </si>
  <si>
    <t>m2e-15</t>
  </si>
  <si>
    <t>m2i-15</t>
  </si>
  <si>
    <t>m2e-14</t>
  </si>
  <si>
    <t>m2i-14</t>
  </si>
  <si>
    <t>m2e-13</t>
  </si>
  <si>
    <t>m2i-13</t>
  </si>
  <si>
    <t>m2e-12</t>
  </si>
  <si>
    <t>m2i-12</t>
  </si>
  <si>
    <t>m2e-11</t>
  </si>
  <si>
    <t>m2i-11</t>
  </si>
  <si>
    <t>m2e-10</t>
  </si>
  <si>
    <t>m2i-10</t>
  </si>
  <si>
    <t>m2e-9</t>
  </si>
  <si>
    <t>m2i-9</t>
  </si>
  <si>
    <t>m2e-8</t>
  </si>
  <si>
    <t>m2i-8</t>
  </si>
  <si>
    <t>m2e-7</t>
  </si>
  <si>
    <t>m2i-7</t>
  </si>
  <si>
    <t>m2e-6</t>
  </si>
  <si>
    <t>m2i-6</t>
  </si>
  <si>
    <t>m2e-5</t>
  </si>
  <si>
    <t>m2i-5</t>
  </si>
  <si>
    <t>m2e-4</t>
  </si>
  <si>
    <t>m2i-4</t>
  </si>
  <si>
    <t>m2e-3</t>
  </si>
  <si>
    <t>m2i-3</t>
  </si>
  <si>
    <t>m2e-2</t>
  </si>
  <si>
    <t>m2i-2</t>
  </si>
  <si>
    <t>m2e-1</t>
  </si>
  <si>
    <t>m2i-1</t>
  </si>
  <si>
    <t>r2e-1</t>
  </si>
  <si>
    <t>r2i-1</t>
  </si>
  <si>
    <t>r2e-2</t>
  </si>
  <si>
    <t>r2i-2</t>
  </si>
  <si>
    <t>r2e-3</t>
  </si>
  <si>
    <t>r2i-3</t>
  </si>
  <si>
    <t>r2e-4</t>
  </si>
  <si>
    <t>r2i-4</t>
  </si>
  <si>
    <t>r2e-5</t>
  </si>
  <si>
    <t>r2i-5</t>
  </si>
  <si>
    <t>r2e-6</t>
  </si>
  <si>
    <t>r2i-6</t>
  </si>
  <si>
    <t>r2e-7</t>
  </si>
  <si>
    <t>r2i-7</t>
  </si>
  <si>
    <t>r2e-8</t>
  </si>
  <si>
    <t>r2i-8</t>
  </si>
  <si>
    <t>r2e-9</t>
  </si>
  <si>
    <t>r2i-9</t>
  </si>
  <si>
    <t>r2e-10</t>
  </si>
  <si>
    <t>r2i-10</t>
  </si>
  <si>
    <t>r2e-11</t>
  </si>
  <si>
    <t>r2i-11</t>
  </si>
  <si>
    <t>r2e-12</t>
  </si>
  <si>
    <t>r2i-12</t>
  </si>
  <si>
    <t>r2e-13</t>
  </si>
  <si>
    <t>r2i-13</t>
  </si>
  <si>
    <t>r2e-14</t>
  </si>
  <si>
    <t>r2i-14</t>
  </si>
  <si>
    <t>r2e-15</t>
  </si>
  <si>
    <t>r2i-15</t>
  </si>
  <si>
    <t>r2e-16</t>
  </si>
  <si>
    <t>r2i-16</t>
  </si>
  <si>
    <t>r2e-17</t>
  </si>
  <si>
    <t>r2i-17</t>
  </si>
  <si>
    <t>r2e-18</t>
  </si>
  <si>
    <t>r2i-18</t>
  </si>
  <si>
    <t>Retraints i</t>
  </si>
  <si>
    <t>XZ</t>
  </si>
  <si>
    <t>Z_r123</t>
  </si>
  <si>
    <t>Z</t>
  </si>
  <si>
    <t>Last Node</t>
  </si>
  <si>
    <t>Last Frame</t>
  </si>
  <si>
    <t xml:space="preserve">Number of Frames </t>
  </si>
  <si>
    <t>Number of Nodes in the deck</t>
  </si>
  <si>
    <t>deck -&gt;</t>
  </si>
  <si>
    <t>x</t>
  </si>
  <si>
    <t>y</t>
  </si>
  <si>
    <t>z</t>
  </si>
  <si>
    <t>rx</t>
  </si>
  <si>
    <t>ry</t>
  </si>
  <si>
    <t>rz</t>
  </si>
  <si>
    <t>Number of restrictions</t>
  </si>
  <si>
    <t>Cables Top</t>
  </si>
  <si>
    <t>I=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</si>
</sst>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 CASE 2 - Uz vs</a:t>
            </a:r>
            <a:r>
              <a:rPr lang="en-US" baseline="0"/>
              <a:t> distance (m)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Uz Max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Frames!$B$2:$B$46</c:f>
              <c:numCache>
                <c:formatCode>General</c:formatCode>
                <c:ptCount val="45"/>
                <c:pt idx="0">
                  <c:v>0</c:v>
                </c:pt>
                <c:pt idx="1">
                  <c:v>5</c:v>
                </c:pt>
                <c:pt idx="2">
                  <c:v>10.15</c:v>
                </c:pt>
                <c:pt idx="3">
                  <c:v>17.149999999999999</c:v>
                </c:pt>
                <c:pt idx="4">
                  <c:v>24.15</c:v>
                </c:pt>
                <c:pt idx="5">
                  <c:v>31.15</c:v>
                </c:pt>
                <c:pt idx="6">
                  <c:v>38.15</c:v>
                </c:pt>
                <c:pt idx="7">
                  <c:v>45.15</c:v>
                </c:pt>
                <c:pt idx="8">
                  <c:v>52.15</c:v>
                </c:pt>
                <c:pt idx="9">
                  <c:v>59.15</c:v>
                </c:pt>
                <c:pt idx="10">
                  <c:v>66.150000000000006</c:v>
                </c:pt>
                <c:pt idx="11">
                  <c:v>73.150000000000006</c:v>
                </c:pt>
                <c:pt idx="12">
                  <c:v>80.150000000000006</c:v>
                </c:pt>
                <c:pt idx="13">
                  <c:v>87.15</c:v>
                </c:pt>
                <c:pt idx="14">
                  <c:v>94.15</c:v>
                </c:pt>
                <c:pt idx="15">
                  <c:v>101.15</c:v>
                </c:pt>
                <c:pt idx="16">
                  <c:v>108.15</c:v>
                </c:pt>
                <c:pt idx="17">
                  <c:v>115.15</c:v>
                </c:pt>
                <c:pt idx="18">
                  <c:v>122.15</c:v>
                </c:pt>
                <c:pt idx="19">
                  <c:v>129.15</c:v>
                </c:pt>
                <c:pt idx="20">
                  <c:v>135</c:v>
                </c:pt>
                <c:pt idx="21">
                  <c:v>141</c:v>
                </c:pt>
                <c:pt idx="22">
                  <c:v>150</c:v>
                </c:pt>
                <c:pt idx="23">
                  <c:v>158.5</c:v>
                </c:pt>
                <c:pt idx="24">
                  <c:v>164</c:v>
                </c:pt>
                <c:pt idx="25">
                  <c:v>169.35</c:v>
                </c:pt>
                <c:pt idx="26">
                  <c:v>175.85</c:v>
                </c:pt>
                <c:pt idx="27">
                  <c:v>182.35</c:v>
                </c:pt>
                <c:pt idx="28">
                  <c:v>188.85</c:v>
                </c:pt>
                <c:pt idx="29">
                  <c:v>195.35</c:v>
                </c:pt>
                <c:pt idx="30">
                  <c:v>201.85</c:v>
                </c:pt>
                <c:pt idx="31">
                  <c:v>208.35</c:v>
                </c:pt>
                <c:pt idx="32">
                  <c:v>214.85</c:v>
                </c:pt>
                <c:pt idx="33">
                  <c:v>221.35</c:v>
                </c:pt>
                <c:pt idx="34">
                  <c:v>227.85</c:v>
                </c:pt>
                <c:pt idx="35">
                  <c:v>234.35</c:v>
                </c:pt>
                <c:pt idx="36">
                  <c:v>240.85</c:v>
                </c:pt>
                <c:pt idx="37">
                  <c:v>247.35</c:v>
                </c:pt>
                <c:pt idx="38">
                  <c:v>253.85</c:v>
                </c:pt>
                <c:pt idx="39">
                  <c:v>260.35000000000002</c:v>
                </c:pt>
                <c:pt idx="40">
                  <c:v>266.85000000000002</c:v>
                </c:pt>
                <c:pt idx="41">
                  <c:v>273.35000000000002</c:v>
                </c:pt>
                <c:pt idx="42">
                  <c:v>279.85000000000002</c:v>
                </c:pt>
                <c:pt idx="43">
                  <c:v>283.5</c:v>
                </c:pt>
                <c:pt idx="44">
                  <c:v>290</c:v>
                </c:pt>
              </c:numCache>
            </c:numRef>
          </c:xVal>
          <c:yVal>
            <c:numRef>
              <c:f>Results_Case2!$E$2:$E$47</c:f>
              <c:numCache>
                <c:formatCode>General</c:formatCode>
                <c:ptCount val="46"/>
                <c:pt idx="0">
                  <c:v>0</c:v>
                </c:pt>
                <c:pt idx="1">
                  <c:v>2.3149100895040329E-2</c:v>
                </c:pt>
                <c:pt idx="2">
                  <c:v>5.3541358876783844E-2</c:v>
                </c:pt>
                <c:pt idx="3">
                  <c:v>0.105255570119205</c:v>
                </c:pt>
                <c:pt idx="4">
                  <c:v>0.16492755908174397</c:v>
                </c:pt>
                <c:pt idx="5">
                  <c:v>0.22512505934280672</c:v>
                </c:pt>
                <c:pt idx="6">
                  <c:v>0.27643071378458894</c:v>
                </c:pt>
                <c:pt idx="7">
                  <c:v>0.31019657337272832</c:v>
                </c:pt>
                <c:pt idx="8">
                  <c:v>0.32001822281207432</c:v>
                </c:pt>
                <c:pt idx="9">
                  <c:v>0.3034268587069564</c:v>
                </c:pt>
                <c:pt idx="10">
                  <c:v>0.26302475427505217</c:v>
                </c:pt>
                <c:pt idx="11">
                  <c:v>0.203482178903136</c:v>
                </c:pt>
                <c:pt idx="12">
                  <c:v>0.13074524257433165</c:v>
                </c:pt>
                <c:pt idx="13">
                  <c:v>5.2144101714969963E-2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92-4D2A-A842-F8B0C45496FD}"/>
            </c:ext>
          </c:extLst>
        </c:ser>
        <c:ser>
          <c:idx val="1"/>
          <c:order val="1"/>
          <c:tx>
            <c:v>Uz 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Frames!$B$2:$B$46</c:f>
              <c:numCache>
                <c:formatCode>General</c:formatCode>
                <c:ptCount val="45"/>
                <c:pt idx="0">
                  <c:v>0</c:v>
                </c:pt>
                <c:pt idx="1">
                  <c:v>5</c:v>
                </c:pt>
                <c:pt idx="2">
                  <c:v>10.15</c:v>
                </c:pt>
                <c:pt idx="3">
                  <c:v>17.149999999999999</c:v>
                </c:pt>
                <c:pt idx="4">
                  <c:v>24.15</c:v>
                </c:pt>
                <c:pt idx="5">
                  <c:v>31.15</c:v>
                </c:pt>
                <c:pt idx="6">
                  <c:v>38.15</c:v>
                </c:pt>
                <c:pt idx="7">
                  <c:v>45.15</c:v>
                </c:pt>
                <c:pt idx="8">
                  <c:v>52.15</c:v>
                </c:pt>
                <c:pt idx="9">
                  <c:v>59.15</c:v>
                </c:pt>
                <c:pt idx="10">
                  <c:v>66.150000000000006</c:v>
                </c:pt>
                <c:pt idx="11">
                  <c:v>73.150000000000006</c:v>
                </c:pt>
                <c:pt idx="12">
                  <c:v>80.150000000000006</c:v>
                </c:pt>
                <c:pt idx="13">
                  <c:v>87.15</c:v>
                </c:pt>
                <c:pt idx="14">
                  <c:v>94.15</c:v>
                </c:pt>
                <c:pt idx="15">
                  <c:v>101.15</c:v>
                </c:pt>
                <c:pt idx="16">
                  <c:v>108.15</c:v>
                </c:pt>
                <c:pt idx="17">
                  <c:v>115.15</c:v>
                </c:pt>
                <c:pt idx="18">
                  <c:v>122.15</c:v>
                </c:pt>
                <c:pt idx="19">
                  <c:v>129.15</c:v>
                </c:pt>
                <c:pt idx="20">
                  <c:v>135</c:v>
                </c:pt>
                <c:pt idx="21">
                  <c:v>141</c:v>
                </c:pt>
                <c:pt idx="22">
                  <c:v>150</c:v>
                </c:pt>
                <c:pt idx="23">
                  <c:v>158.5</c:v>
                </c:pt>
                <c:pt idx="24">
                  <c:v>164</c:v>
                </c:pt>
                <c:pt idx="25">
                  <c:v>169.35</c:v>
                </c:pt>
                <c:pt idx="26">
                  <c:v>175.85</c:v>
                </c:pt>
                <c:pt idx="27">
                  <c:v>182.35</c:v>
                </c:pt>
                <c:pt idx="28">
                  <c:v>188.85</c:v>
                </c:pt>
                <c:pt idx="29">
                  <c:v>195.35</c:v>
                </c:pt>
                <c:pt idx="30">
                  <c:v>201.85</c:v>
                </c:pt>
                <c:pt idx="31">
                  <c:v>208.35</c:v>
                </c:pt>
                <c:pt idx="32">
                  <c:v>214.85</c:v>
                </c:pt>
                <c:pt idx="33">
                  <c:v>221.35</c:v>
                </c:pt>
                <c:pt idx="34">
                  <c:v>227.85</c:v>
                </c:pt>
                <c:pt idx="35">
                  <c:v>234.35</c:v>
                </c:pt>
                <c:pt idx="36">
                  <c:v>240.85</c:v>
                </c:pt>
                <c:pt idx="37">
                  <c:v>247.35</c:v>
                </c:pt>
                <c:pt idx="38">
                  <c:v>253.85</c:v>
                </c:pt>
                <c:pt idx="39">
                  <c:v>260.35000000000002</c:v>
                </c:pt>
                <c:pt idx="40">
                  <c:v>266.85000000000002</c:v>
                </c:pt>
                <c:pt idx="41">
                  <c:v>273.35000000000002</c:v>
                </c:pt>
                <c:pt idx="42">
                  <c:v>279.85000000000002</c:v>
                </c:pt>
                <c:pt idx="43">
                  <c:v>283.5</c:v>
                </c:pt>
                <c:pt idx="44">
                  <c:v>290</c:v>
                </c:pt>
              </c:numCache>
            </c:numRef>
          </c:xVal>
          <c:yVal>
            <c:numRef>
              <c:f>Results_Case2!$F$2:$F$47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-2.3801257243743022E-2</c:v>
                </c:pt>
                <c:pt idx="15">
                  <c:v>-8.63660797121968E-2</c:v>
                </c:pt>
                <c:pt idx="16">
                  <c:v>-0.12360782261113125</c:v>
                </c:pt>
                <c:pt idx="17">
                  <c:v>-0.12969531972915754</c:v>
                </c:pt>
                <c:pt idx="18">
                  <c:v>-0.10797116668067355</c:v>
                </c:pt>
                <c:pt idx="19">
                  <c:v>-7.0538107950951154E-2</c:v>
                </c:pt>
                <c:pt idx="20">
                  <c:v>-4.0802896337298639E-2</c:v>
                </c:pt>
                <c:pt idx="21">
                  <c:v>-1.7249525784029187E-2</c:v>
                </c:pt>
                <c:pt idx="22">
                  <c:v>0</c:v>
                </c:pt>
                <c:pt idx="23">
                  <c:v>-1.3820247160539863E-2</c:v>
                </c:pt>
                <c:pt idx="24">
                  <c:v>-3.2249881606246401E-2</c:v>
                </c:pt>
                <c:pt idx="25">
                  <c:v>-5.6065969728364716E-2</c:v>
                </c:pt>
                <c:pt idx="26">
                  <c:v>-9.065929324534297E-2</c:v>
                </c:pt>
                <c:pt idx="27">
                  <c:v>-0.1211950001271578</c:v>
                </c:pt>
                <c:pt idx="28">
                  <c:v>-0.14077146638220558</c:v>
                </c:pt>
                <c:pt idx="29">
                  <c:v>-0.14695976047158735</c:v>
                </c:pt>
                <c:pt idx="30">
                  <c:v>-0.14017488446832763</c:v>
                </c:pt>
                <c:pt idx="31">
                  <c:v>-0.12323541553895967</c:v>
                </c:pt>
                <c:pt idx="32">
                  <c:v>-0.10177436856916794</c:v>
                </c:pt>
                <c:pt idx="33">
                  <c:v>-8.2522203895712132E-2</c:v>
                </c:pt>
                <c:pt idx="34">
                  <c:v>-7.185887180331911E-2</c:v>
                </c:pt>
                <c:pt idx="35">
                  <c:v>-7.4083994082821167E-2</c:v>
                </c:pt>
                <c:pt idx="36">
                  <c:v>-9.0116142962225546E-2</c:v>
                </c:pt>
                <c:pt idx="37">
                  <c:v>-0.11743551217953754</c:v>
                </c:pt>
                <c:pt idx="38">
                  <c:v>-0.14950257780745085</c:v>
                </c:pt>
                <c:pt idx="39">
                  <c:v>-0.17648275186020271</c:v>
                </c:pt>
                <c:pt idx="40">
                  <c:v>-0.18686867908881188</c:v>
                </c:pt>
                <c:pt idx="41">
                  <c:v>-0.17067034477091</c:v>
                </c:pt>
                <c:pt idx="42">
                  <c:v>-0.12357827440405791</c:v>
                </c:pt>
                <c:pt idx="43">
                  <c:v>-8.4831150074887174E-2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F3-4163-9A7B-C7D7C9682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227824"/>
        <c:axId val="971533504"/>
      </c:scatterChart>
      <c:valAx>
        <c:axId val="964227824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1533504"/>
        <c:crosses val="autoZero"/>
        <c:crossBetween val="midCat"/>
      </c:valAx>
      <c:valAx>
        <c:axId val="97153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227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1</xdr:row>
      <xdr:rowOff>167640</xdr:rowOff>
    </xdr:from>
    <xdr:to>
      <xdr:col>22</xdr:col>
      <xdr:colOff>38100</xdr:colOff>
      <xdr:row>16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ED4C2F-DADB-41B2-9BAE-B2B460BC74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82A43-01B4-4548-B042-417F5514CA0C}">
  <sheetPr codeName="Sheet8"/>
  <dimension ref="A1:N117"/>
  <sheetViews>
    <sheetView tabSelected="1" workbookViewId="0">
      <selection activeCell="F3" sqref="F3"/>
    </sheetView>
  </sheetViews>
  <sheetFormatPr defaultRowHeight="14.4" x14ac:dyDescent="0.3"/>
  <cols>
    <col min="5" max="5" width="15.5546875" customWidth="1"/>
    <col min="12" max="12" width="14.109375" customWidth="1"/>
  </cols>
  <sheetData>
    <row r="1" spans="1:14" x14ac:dyDescent="0.3">
      <c r="A1" s="3" t="s">
        <v>32</v>
      </c>
      <c r="B1" s="3" t="s">
        <v>33</v>
      </c>
      <c r="C1" s="3" t="s">
        <v>34</v>
      </c>
      <c r="D1" s="3"/>
      <c r="E1" s="3" t="s">
        <v>46</v>
      </c>
      <c r="F1" s="3"/>
      <c r="G1" s="3"/>
      <c r="H1" s="3"/>
      <c r="I1" s="3"/>
      <c r="J1" s="3"/>
    </row>
    <row r="2" spans="1:14" x14ac:dyDescent="0.3">
      <c r="A2">
        <v>0</v>
      </c>
      <c r="B2">
        <v>0</v>
      </c>
      <c r="C2">
        <v>0</v>
      </c>
      <c r="E2" t="s">
        <v>49</v>
      </c>
      <c r="F2" t="s">
        <v>48</v>
      </c>
    </row>
    <row r="3" spans="1:14" x14ac:dyDescent="0.3">
      <c r="A3">
        <v>0</v>
      </c>
      <c r="B3">
        <f>heightBeamLeft</f>
        <v>1.43</v>
      </c>
      <c r="C3">
        <v>0</v>
      </c>
      <c r="E3" t="s">
        <v>35</v>
      </c>
      <c r="F3">
        <v>1.43</v>
      </c>
    </row>
    <row r="4" spans="1:14" x14ac:dyDescent="0.3">
      <c r="A4">
        <f>widthBeamLeft</f>
        <v>1.44</v>
      </c>
      <c r="B4">
        <f>heightBeamLeft</f>
        <v>1.43</v>
      </c>
      <c r="C4">
        <v>0</v>
      </c>
      <c r="E4" t="s">
        <v>36</v>
      </c>
      <c r="F4">
        <v>1.42</v>
      </c>
    </row>
    <row r="5" spans="1:14" x14ac:dyDescent="0.3">
      <c r="A5">
        <f>widthBeamLeft</f>
        <v>1.44</v>
      </c>
      <c r="B5">
        <f>SlabHeigth</f>
        <v>0.48</v>
      </c>
      <c r="C5">
        <v>0</v>
      </c>
      <c r="E5" t="s">
        <v>37</v>
      </c>
      <c r="F5">
        <v>1.44</v>
      </c>
      <c r="L5" s="11" t="s">
        <v>152</v>
      </c>
      <c r="M5" s="11"/>
      <c r="N5" s="11"/>
    </row>
    <row r="6" spans="1:14" x14ac:dyDescent="0.3">
      <c r="A6">
        <f xml:space="preserve"> (widthBeamLeft + SlabWidth)</f>
        <v>14.12</v>
      </c>
      <c r="B6">
        <f>SlabHeigth</f>
        <v>0.48</v>
      </c>
      <c r="C6">
        <v>0</v>
      </c>
      <c r="E6" t="s">
        <v>38</v>
      </c>
      <c r="F6">
        <v>1.41</v>
      </c>
      <c r="L6" s="17">
        <v>6</v>
      </c>
    </row>
    <row r="7" spans="1:14" x14ac:dyDescent="0.3">
      <c r="A7">
        <f>(widthBeamLeft + SlabWidth)</f>
        <v>14.12</v>
      </c>
      <c r="B7">
        <f>heightBeamRight</f>
        <v>1.42</v>
      </c>
      <c r="C7">
        <v>0</v>
      </c>
      <c r="E7" t="s">
        <v>39</v>
      </c>
      <c r="F7">
        <v>15.53</v>
      </c>
    </row>
    <row r="8" spans="1:14" x14ac:dyDescent="0.3">
      <c r="A8">
        <f>DeckWidth</f>
        <v>15.53</v>
      </c>
      <c r="B8">
        <f>heightBeamRight</f>
        <v>1.42</v>
      </c>
      <c r="C8">
        <v>0</v>
      </c>
      <c r="E8" t="s">
        <v>40</v>
      </c>
      <c r="F8">
        <f xml:space="preserve"> DeckWidth - widthBeamLeft - widthBeamRight</f>
        <v>12.68</v>
      </c>
    </row>
    <row r="9" spans="1:14" x14ac:dyDescent="0.3">
      <c r="A9">
        <f>DeckWidth</f>
        <v>15.53</v>
      </c>
      <c r="B9">
        <v>0</v>
      </c>
      <c r="C9">
        <v>0</v>
      </c>
      <c r="E9" t="s">
        <v>41</v>
      </c>
      <c r="F9">
        <v>0.48</v>
      </c>
      <c r="L9" t="s">
        <v>181</v>
      </c>
    </row>
    <row r="10" spans="1:14" x14ac:dyDescent="0.3">
      <c r="L10" t="s">
        <v>49</v>
      </c>
      <c r="M10" t="s">
        <v>182</v>
      </c>
    </row>
    <row r="11" spans="1:14" x14ac:dyDescent="0.3">
      <c r="E11" t="s">
        <v>42</v>
      </c>
      <c r="F11" cm="1">
        <f t="array" ref="F11" xml:space="preserve"> ((widthBeamLeft / 2 * widthBeamLeft * heightBeamLeft) + (widthBeamLeft + SlabWidth / 2) * SlabWidth * SlabHeigth + (widthBeamLeft + SlabWidth + widthBeamRight / 2) * widthBeamRight * heightBeamRight) / (widthBeamLeft * heightBeamLeft + SlabWidth * SlabHeigth + widthBeamRight * heightBeamRight)</f>
        <v>7.7373845562584993</v>
      </c>
      <c r="L11" t="s">
        <v>183</v>
      </c>
      <c r="M11">
        <v>17000000</v>
      </c>
      <c r="N11" t="s">
        <v>184</v>
      </c>
    </row>
    <row r="12" spans="1:14" x14ac:dyDescent="0.3">
      <c r="E12" t="s">
        <v>43</v>
      </c>
      <c r="F12">
        <f>((heightBeamLeft / 2 * widthBeamLeft * heightBeamLeft) + (SlabHeigth / 2) * SlabWidth * SlabHeigth + (heightBeamRight / 2) * widthBeamRight * heightBeamRight) / (widthBeamLeft * heightBeamLeft + SlabWidth * SlabHeigth + widthBeamRight * heightBeamRight)</f>
        <v>0.42912020339383911</v>
      </c>
      <c r="L12" t="s">
        <v>185</v>
      </c>
      <c r="M12">
        <v>24.4</v>
      </c>
      <c r="N12" t="s">
        <v>186</v>
      </c>
    </row>
    <row r="14" spans="1:14" x14ac:dyDescent="0.3">
      <c r="E14" t="s">
        <v>44</v>
      </c>
      <c r="F14">
        <f>COUNT(A2:A13)</f>
        <v>8</v>
      </c>
    </row>
    <row r="16" spans="1:14" x14ac:dyDescent="0.3">
      <c r="E16" t="s">
        <v>307</v>
      </c>
      <c r="F16">
        <f>SlabWidth*SlabHeigth^3/12+widthBeamLeft*heightBeamLeft^3/12+widthBeamRight*heightBeamRight^3/12+heightBeamLeft*widthBeamLeft*(heightBeamLeft/2-SlabHeigth/2)^2</f>
        <v>1.2688070599999999</v>
      </c>
    </row>
    <row r="21" spans="1:13" x14ac:dyDescent="0.3">
      <c r="A21" s="3" t="s">
        <v>32</v>
      </c>
      <c r="B21" s="3" t="s">
        <v>33</v>
      </c>
      <c r="C21" s="3" t="s">
        <v>34</v>
      </c>
      <c r="D21" s="3"/>
      <c r="E21" s="3" t="s">
        <v>59</v>
      </c>
      <c r="F21" s="3"/>
      <c r="G21" s="3"/>
      <c r="H21" s="3"/>
      <c r="I21" s="3"/>
      <c r="J21" s="3"/>
    </row>
    <row r="22" spans="1:13" x14ac:dyDescent="0.3">
      <c r="A22">
        <v>0</v>
      </c>
      <c r="B22">
        <v>0</v>
      </c>
      <c r="C22">
        <v>0</v>
      </c>
      <c r="E22" t="s">
        <v>49</v>
      </c>
      <c r="F22" t="s">
        <v>56</v>
      </c>
    </row>
    <row r="23" spans="1:13" x14ac:dyDescent="0.3">
      <c r="A23">
        <v>0</v>
      </c>
      <c r="B23">
        <f>F23</f>
        <v>1.5688846153846161</v>
      </c>
      <c r="C23">
        <v>0</v>
      </c>
      <c r="E23" t="s">
        <v>35</v>
      </c>
      <c r="F23" s="5">
        <f t="shared" ref="F23:F29" si="0">F3+(F63-F3)*$F$36/$F$37</f>
        <v>1.5688846153846161</v>
      </c>
    </row>
    <row r="24" spans="1:13" x14ac:dyDescent="0.3">
      <c r="A24">
        <f>F25</f>
        <v>1.4568076923076922</v>
      </c>
      <c r="B24">
        <f>F23</f>
        <v>1.5688846153846161</v>
      </c>
      <c r="C24">
        <v>0</v>
      </c>
      <c r="E24" t="s">
        <v>36</v>
      </c>
      <c r="F24" s="5">
        <f t="shared" si="0"/>
        <v>1.5597692307692315</v>
      </c>
    </row>
    <row r="25" spans="1:13" x14ac:dyDescent="0.3">
      <c r="A25">
        <f>F25</f>
        <v>1.4568076923076922</v>
      </c>
      <c r="B25">
        <f>F29</f>
        <v>0.48</v>
      </c>
      <c r="C25">
        <v>0</v>
      </c>
      <c r="E25" t="s">
        <v>37</v>
      </c>
      <c r="F25" s="5">
        <f t="shared" si="0"/>
        <v>1.4568076923076922</v>
      </c>
    </row>
    <row r="26" spans="1:13" x14ac:dyDescent="0.3">
      <c r="A26">
        <f xml:space="preserve"> (F25 + F28)</f>
        <v>14.125307692307691</v>
      </c>
      <c r="B26">
        <f>SlabHeigth</f>
        <v>0.48</v>
      </c>
      <c r="C26">
        <v>0</v>
      </c>
      <c r="E26" t="s">
        <v>38</v>
      </c>
      <c r="F26" s="5">
        <f t="shared" si="0"/>
        <v>1.4294615384615386</v>
      </c>
    </row>
    <row r="27" spans="1:13" x14ac:dyDescent="0.3">
      <c r="A27">
        <f>(F25 + F28)</f>
        <v>14.125307692307691</v>
      </c>
      <c r="B27">
        <f>F24</f>
        <v>1.5597692307692315</v>
      </c>
      <c r="C27">
        <v>0</v>
      </c>
      <c r="E27" t="s">
        <v>39</v>
      </c>
      <c r="F27" s="5">
        <f t="shared" si="0"/>
        <v>15.55476923076923</v>
      </c>
    </row>
    <row r="28" spans="1:13" x14ac:dyDescent="0.3">
      <c r="A28">
        <f>F27</f>
        <v>15.55476923076923</v>
      </c>
      <c r="B28">
        <f>F24</f>
        <v>1.5597692307692315</v>
      </c>
      <c r="C28">
        <v>0</v>
      </c>
      <c r="E28" t="s">
        <v>40</v>
      </c>
      <c r="F28" s="5">
        <f t="shared" si="0"/>
        <v>12.6685</v>
      </c>
    </row>
    <row r="29" spans="1:13" x14ac:dyDescent="0.3">
      <c r="A29">
        <f>F27</f>
        <v>15.55476923076923</v>
      </c>
      <c r="B29">
        <v>0</v>
      </c>
      <c r="C29">
        <v>0</v>
      </c>
      <c r="E29" t="s">
        <v>41</v>
      </c>
      <c r="F29">
        <f t="shared" si="0"/>
        <v>0.48</v>
      </c>
    </row>
    <row r="31" spans="1:13" x14ac:dyDescent="0.3">
      <c r="E31" t="s">
        <v>42</v>
      </c>
      <c r="F31" s="5">
        <f xml:space="preserve"> ((F25 / 2 * F25 * F23) + (F25 + F28 / 2) * F28 * F29 + (F25 + F28 + F26 / 2) * F26 * F24) / (F25 * F23 + F28 * F29 + F26 * F24)</f>
        <v>7.7508992604635099</v>
      </c>
      <c r="H31" s="5"/>
      <c r="K31" s="5"/>
    </row>
    <row r="32" spans="1:13" x14ac:dyDescent="0.3">
      <c r="E32" t="s">
        <v>43</v>
      </c>
      <c r="F32">
        <f>((F23 / 2 * F25 * heightBeamLeft) + (F29 / 2) * F28 * F29 + (F24 / 2) * F26 * F24) / (F25 * F23 + F28 * F29 + F26 * F24)</f>
        <v>0.45605980308188276</v>
      </c>
      <c r="K32" s="5"/>
      <c r="M32" s="5"/>
    </row>
    <row r="34" spans="1:10" x14ac:dyDescent="0.3">
      <c r="E34" t="s">
        <v>44</v>
      </c>
      <c r="F34">
        <f>COUNT(A22:A33)</f>
        <v>8</v>
      </c>
    </row>
    <row r="36" spans="1:10" x14ac:dyDescent="0.3">
      <c r="E36" t="s">
        <v>57</v>
      </c>
      <c r="F36">
        <f>129.15-128</f>
        <v>1.1500000000000057</v>
      </c>
    </row>
    <row r="37" spans="1:10" x14ac:dyDescent="0.3">
      <c r="E37" t="s">
        <v>58</v>
      </c>
      <c r="F37">
        <f>141-128</f>
        <v>13</v>
      </c>
    </row>
    <row r="41" spans="1:10" x14ac:dyDescent="0.3">
      <c r="A41" s="3" t="s">
        <v>32</v>
      </c>
      <c r="B41" s="3" t="s">
        <v>33</v>
      </c>
      <c r="C41" s="3" t="s">
        <v>34</v>
      </c>
      <c r="D41" s="3"/>
      <c r="E41" s="3" t="s">
        <v>60</v>
      </c>
      <c r="F41" s="3"/>
      <c r="G41" s="3"/>
      <c r="H41" s="3"/>
      <c r="I41" s="3"/>
      <c r="J41" s="3"/>
    </row>
    <row r="42" spans="1:10" x14ac:dyDescent="0.3">
      <c r="A42">
        <v>0</v>
      </c>
      <c r="B42">
        <v>0</v>
      </c>
      <c r="C42">
        <v>0</v>
      </c>
      <c r="E42" t="s">
        <v>49</v>
      </c>
      <c r="F42" t="s">
        <v>61</v>
      </c>
    </row>
    <row r="43" spans="1:10" x14ac:dyDescent="0.3">
      <c r="A43">
        <v>0</v>
      </c>
      <c r="B43">
        <f>F43</f>
        <v>2.2753846153846151</v>
      </c>
      <c r="C43">
        <v>0</v>
      </c>
      <c r="E43" t="s">
        <v>35</v>
      </c>
      <c r="F43" s="5">
        <f t="shared" ref="F43:F49" si="1">F3+(F63-F3)*$F$56/$F$57</f>
        <v>2.2753846153846151</v>
      </c>
    </row>
    <row r="44" spans="1:10" x14ac:dyDescent="0.3">
      <c r="A44">
        <f>F45</f>
        <v>1.5423076923076922</v>
      </c>
      <c r="B44">
        <f>F43</f>
        <v>2.2753846153846151</v>
      </c>
      <c r="C44">
        <v>0</v>
      </c>
      <c r="E44" t="s">
        <v>36</v>
      </c>
      <c r="F44" s="5">
        <f t="shared" si="1"/>
        <v>2.2707692307692309</v>
      </c>
    </row>
    <row r="45" spans="1:10" x14ac:dyDescent="0.3">
      <c r="A45">
        <f>F45</f>
        <v>1.5423076923076922</v>
      </c>
      <c r="B45">
        <f>F49</f>
        <v>0.48</v>
      </c>
      <c r="C45">
        <v>0</v>
      </c>
      <c r="E45" t="s">
        <v>37</v>
      </c>
      <c r="F45" s="5">
        <f t="shared" si="1"/>
        <v>1.5423076923076922</v>
      </c>
    </row>
    <row r="46" spans="1:10" x14ac:dyDescent="0.3">
      <c r="A46">
        <f xml:space="preserve"> (F45 + F48)</f>
        <v>14.152307692307691</v>
      </c>
      <c r="B46">
        <f>SlabHeigth</f>
        <v>0.48</v>
      </c>
      <c r="C46">
        <v>0</v>
      </c>
      <c r="E46" t="s">
        <v>38</v>
      </c>
      <c r="F46" s="5">
        <f t="shared" si="1"/>
        <v>1.5284615384615383</v>
      </c>
    </row>
    <row r="47" spans="1:10" x14ac:dyDescent="0.3">
      <c r="A47">
        <f>(F45 + F48)</f>
        <v>14.152307692307691</v>
      </c>
      <c r="B47">
        <f>F44</f>
        <v>2.2707692307692309</v>
      </c>
      <c r="C47">
        <v>0</v>
      </c>
      <c r="E47" t="s">
        <v>39</v>
      </c>
      <c r="F47" s="5">
        <f t="shared" si="1"/>
        <v>15.680769230769231</v>
      </c>
    </row>
    <row r="48" spans="1:10" x14ac:dyDescent="0.3">
      <c r="A48">
        <f>F47</f>
        <v>15.680769230769231</v>
      </c>
      <c r="B48">
        <f>F44</f>
        <v>2.2707692307692309</v>
      </c>
      <c r="C48">
        <v>0</v>
      </c>
      <c r="E48" t="s">
        <v>40</v>
      </c>
      <c r="F48" s="5">
        <f t="shared" si="1"/>
        <v>12.61</v>
      </c>
    </row>
    <row r="49" spans="1:10" x14ac:dyDescent="0.3">
      <c r="A49">
        <f>F47</f>
        <v>15.680769230769231</v>
      </c>
      <c r="B49">
        <v>0</v>
      </c>
      <c r="C49">
        <v>0</v>
      </c>
      <c r="E49" t="s">
        <v>41</v>
      </c>
      <c r="F49" s="5">
        <f t="shared" si="1"/>
        <v>0.48</v>
      </c>
    </row>
    <row r="51" spans="1:10" x14ac:dyDescent="0.3">
      <c r="E51" t="s">
        <v>42</v>
      </c>
      <c r="F51" s="5">
        <f xml:space="preserve"> ((F45 / 2 * F45 * F43) + (F45 + F48 / 2) * F48 * F49 + (F45 + F48 + F46 / 2) * F46 * F44) / (F45 * F43 + F48 * F49 + F46 * F44)</f>
        <v>7.8245282102578892</v>
      </c>
    </row>
    <row r="52" spans="1:10" x14ac:dyDescent="0.3">
      <c r="E52" t="s">
        <v>43</v>
      </c>
      <c r="F52">
        <f>((F43 / 2 * F45 * heightBeamLeft) + (F49 / 2) * F48 * F49 + (F44 / 2) * F46 * F44) / (F45 * F43 + F48 * F49 + F46 * F44)</f>
        <v>0.60635087748303806</v>
      </c>
    </row>
    <row r="54" spans="1:10" x14ac:dyDescent="0.3">
      <c r="E54" t="s">
        <v>44</v>
      </c>
      <c r="F54">
        <f>COUNT(A42:A53)</f>
        <v>8</v>
      </c>
    </row>
    <row r="56" spans="1:10" x14ac:dyDescent="0.3">
      <c r="E56" t="s">
        <v>57</v>
      </c>
      <c r="F56">
        <f>135-128</f>
        <v>7</v>
      </c>
    </row>
    <row r="57" spans="1:10" x14ac:dyDescent="0.3">
      <c r="E57" t="s">
        <v>58</v>
      </c>
      <c r="F57">
        <f>141-128</f>
        <v>13</v>
      </c>
    </row>
    <row r="61" spans="1:10" x14ac:dyDescent="0.3">
      <c r="A61" s="3" t="s">
        <v>32</v>
      </c>
      <c r="B61" s="3" t="s">
        <v>33</v>
      </c>
      <c r="C61" s="3" t="s">
        <v>34</v>
      </c>
      <c r="D61" s="3"/>
      <c r="E61" s="3" t="s">
        <v>62</v>
      </c>
      <c r="F61" s="3"/>
      <c r="G61" s="3"/>
      <c r="H61" s="3"/>
      <c r="I61" s="3"/>
      <c r="J61" s="3"/>
    </row>
    <row r="62" spans="1:10" x14ac:dyDescent="0.3">
      <c r="A62">
        <v>0</v>
      </c>
      <c r="B62">
        <v>0</v>
      </c>
      <c r="C62">
        <v>0</v>
      </c>
      <c r="E62" t="s">
        <v>49</v>
      </c>
      <c r="F62" s="4" t="s">
        <v>52</v>
      </c>
    </row>
    <row r="63" spans="1:10" x14ac:dyDescent="0.3">
      <c r="A63">
        <v>0</v>
      </c>
      <c r="B63">
        <f>F63</f>
        <v>3</v>
      </c>
      <c r="C63">
        <v>0</v>
      </c>
      <c r="E63" t="s">
        <v>35</v>
      </c>
      <c r="F63">
        <v>3</v>
      </c>
    </row>
    <row r="64" spans="1:10" x14ac:dyDescent="0.3">
      <c r="A64">
        <f>F65</f>
        <v>1.63</v>
      </c>
      <c r="B64">
        <f>F63</f>
        <v>3</v>
      </c>
      <c r="C64">
        <v>0</v>
      </c>
      <c r="E64" t="s">
        <v>36</v>
      </c>
      <c r="F64">
        <v>3</v>
      </c>
    </row>
    <row r="65" spans="1:6" x14ac:dyDescent="0.3">
      <c r="A65">
        <f>F65</f>
        <v>1.63</v>
      </c>
      <c r="B65">
        <f>F69</f>
        <v>0.48</v>
      </c>
      <c r="C65">
        <v>0</v>
      </c>
      <c r="E65" t="s">
        <v>37</v>
      </c>
      <c r="F65">
        <v>1.63</v>
      </c>
    </row>
    <row r="66" spans="1:6" x14ac:dyDescent="0.3">
      <c r="A66">
        <f xml:space="preserve"> (F65 + F68)</f>
        <v>14.18</v>
      </c>
      <c r="B66">
        <f>SlabHeigth</f>
        <v>0.48</v>
      </c>
      <c r="C66">
        <v>0</v>
      </c>
      <c r="E66" t="s">
        <v>38</v>
      </c>
      <c r="F66">
        <v>1.63</v>
      </c>
    </row>
    <row r="67" spans="1:6" x14ac:dyDescent="0.3">
      <c r="A67">
        <f>(F65 + F68)</f>
        <v>14.18</v>
      </c>
      <c r="B67">
        <f>F64</f>
        <v>3</v>
      </c>
      <c r="C67">
        <v>0</v>
      </c>
      <c r="E67" t="s">
        <v>39</v>
      </c>
      <c r="F67">
        <v>15.81</v>
      </c>
    </row>
    <row r="68" spans="1:6" x14ac:dyDescent="0.3">
      <c r="A68">
        <f>F67</f>
        <v>15.81</v>
      </c>
      <c r="B68">
        <f>F64</f>
        <v>3</v>
      </c>
      <c r="C68">
        <v>0</v>
      </c>
      <c r="E68" t="s">
        <v>40</v>
      </c>
      <c r="F68">
        <f>F67-F65-F66</f>
        <v>12.55</v>
      </c>
    </row>
    <row r="69" spans="1:6" x14ac:dyDescent="0.3">
      <c r="A69">
        <f>F67</f>
        <v>15.81</v>
      </c>
      <c r="B69">
        <v>0</v>
      </c>
      <c r="C69">
        <v>0</v>
      </c>
      <c r="E69" t="s">
        <v>41</v>
      </c>
      <c r="F69">
        <v>0.48</v>
      </c>
    </row>
    <row r="71" spans="1:6" x14ac:dyDescent="0.3">
      <c r="E71" t="s">
        <v>42</v>
      </c>
      <c r="F71" s="5">
        <f xml:space="preserve"> ((F65 / 2 * F65 * F63) + (F65 + F68 / 2) * F68 * F69 + (F65 + F68 + F66 / 2) * F66 * F64) / (F65 * F63 + F68 * F69 + F66 * F64)</f>
        <v>7.9050000000000002</v>
      </c>
    </row>
    <row r="72" spans="1:6" x14ac:dyDescent="0.3">
      <c r="E72" t="s">
        <v>43</v>
      </c>
      <c r="F72">
        <f>((F63 / 2 * F65 * heightBeamLeft) + (F69 / 2) * F68 * F69 + (F64 / 2) * F66 * F64) / (F65 * F63 + F68 * F69 + F66 * F64)</f>
        <v>0.77683561123766132</v>
      </c>
    </row>
    <row r="74" spans="1:6" x14ac:dyDescent="0.3">
      <c r="E74" t="s">
        <v>44</v>
      </c>
      <c r="F74">
        <f>COUNT(A62:A73)</f>
        <v>8</v>
      </c>
    </row>
    <row r="77" spans="1:6" x14ac:dyDescent="0.3">
      <c r="E77" t="s">
        <v>307</v>
      </c>
      <c r="F77">
        <f>F68*F69^3/12+F65*F63^3/12+F64*F66^3/12+F63*F65*(F63/2-F69/2)^2</f>
        <v>12.629211550000001</v>
      </c>
    </row>
    <row r="81" spans="1:10" x14ac:dyDescent="0.3">
      <c r="A81" s="3" t="s">
        <v>32</v>
      </c>
      <c r="B81" s="3" t="s">
        <v>33</v>
      </c>
      <c r="C81" s="3" t="s">
        <v>34</v>
      </c>
      <c r="D81" s="3"/>
      <c r="E81" s="3" t="s">
        <v>63</v>
      </c>
      <c r="F81" s="3"/>
      <c r="G81" s="3"/>
      <c r="H81" s="3"/>
      <c r="I81" s="3"/>
      <c r="J81" s="3"/>
    </row>
    <row r="82" spans="1:10" x14ac:dyDescent="0.3">
      <c r="A82">
        <v>0</v>
      </c>
      <c r="B82">
        <v>0</v>
      </c>
      <c r="C82">
        <v>0</v>
      </c>
      <c r="E82" t="s">
        <v>49</v>
      </c>
      <c r="F82" t="s">
        <v>64</v>
      </c>
    </row>
    <row r="83" spans="1:10" x14ac:dyDescent="0.3">
      <c r="A83">
        <v>0</v>
      </c>
      <c r="B83">
        <f>F83</f>
        <v>2.2804166666666665</v>
      </c>
      <c r="C83">
        <v>0</v>
      </c>
      <c r="E83" t="s">
        <v>35</v>
      </c>
      <c r="F83" s="5">
        <f t="shared" ref="F83:F89" si="2">F3+(F63-F3)*$F$96/$F$97</f>
        <v>2.2804166666666665</v>
      </c>
    </row>
    <row r="84" spans="1:10" x14ac:dyDescent="0.3">
      <c r="A84">
        <f>F85</f>
        <v>1.5429166666666665</v>
      </c>
      <c r="B84">
        <f>F83</f>
        <v>2.2804166666666665</v>
      </c>
      <c r="C84">
        <v>0</v>
      </c>
      <c r="E84" t="s">
        <v>36</v>
      </c>
      <c r="F84" s="5">
        <f t="shared" si="2"/>
        <v>2.2758333333333334</v>
      </c>
    </row>
    <row r="85" spans="1:10" x14ac:dyDescent="0.3">
      <c r="A85">
        <f>F85</f>
        <v>1.5429166666666665</v>
      </c>
      <c r="B85">
        <f>F89</f>
        <v>0.48</v>
      </c>
      <c r="C85">
        <v>0</v>
      </c>
      <c r="E85" t="s">
        <v>37</v>
      </c>
      <c r="F85" s="5">
        <f t="shared" si="2"/>
        <v>1.5429166666666665</v>
      </c>
    </row>
    <row r="86" spans="1:10" x14ac:dyDescent="0.3">
      <c r="A86">
        <f xml:space="preserve"> (F85 + F88)</f>
        <v>14.1525</v>
      </c>
      <c r="B86">
        <f>SlabHeigth</f>
        <v>0.48</v>
      </c>
      <c r="C86">
        <v>0</v>
      </c>
      <c r="E86" t="s">
        <v>38</v>
      </c>
      <c r="F86" s="5">
        <f t="shared" si="2"/>
        <v>1.5291666666666666</v>
      </c>
    </row>
    <row r="87" spans="1:10" x14ac:dyDescent="0.3">
      <c r="A87">
        <f>(F85 + F88)</f>
        <v>14.1525</v>
      </c>
      <c r="B87">
        <f>F84</f>
        <v>2.2758333333333334</v>
      </c>
      <c r="C87">
        <v>0</v>
      </c>
      <c r="E87" t="s">
        <v>39</v>
      </c>
      <c r="F87" s="5">
        <f t="shared" si="2"/>
        <v>15.681666666666667</v>
      </c>
    </row>
    <row r="88" spans="1:10" x14ac:dyDescent="0.3">
      <c r="A88">
        <f>F87</f>
        <v>15.681666666666667</v>
      </c>
      <c r="B88">
        <f>F84</f>
        <v>2.2758333333333334</v>
      </c>
      <c r="C88">
        <v>0</v>
      </c>
      <c r="E88" t="s">
        <v>40</v>
      </c>
      <c r="F88" s="5">
        <f t="shared" si="2"/>
        <v>12.609583333333333</v>
      </c>
    </row>
    <row r="89" spans="1:10" x14ac:dyDescent="0.3">
      <c r="A89">
        <f>F87</f>
        <v>15.681666666666667</v>
      </c>
      <c r="B89">
        <v>0</v>
      </c>
      <c r="C89">
        <v>0</v>
      </c>
      <c r="E89" t="s">
        <v>41</v>
      </c>
      <c r="F89" s="5">
        <f t="shared" si="2"/>
        <v>0.48</v>
      </c>
    </row>
    <row r="91" spans="1:10" x14ac:dyDescent="0.3">
      <c r="E91" t="s">
        <v>42</v>
      </c>
      <c r="F91" s="5">
        <f xml:space="preserve"> ((F85 / 2 * F85 * F83) + (F85 + F88 / 2) * F88 * F89 + (F85 + F88 + F86 / 2) * F86 * F84) / (F85 * F83 + F88 * F89 + F86 * F84)</f>
        <v>7.8250742802031938</v>
      </c>
    </row>
    <row r="92" spans="1:10" x14ac:dyDescent="0.3">
      <c r="E92" t="s">
        <v>43</v>
      </c>
      <c r="F92">
        <f>((F83 / 2 * F85 * heightBeamLeft) + (F89 / 2) * F88 * F89 + (F84 / 2) * F86 * F84) / (F85 * F83 + F88 * F89 + F86 * F84)</f>
        <v>0.60748663945860915</v>
      </c>
    </row>
    <row r="94" spans="1:10" x14ac:dyDescent="0.3">
      <c r="E94" t="s">
        <v>44</v>
      </c>
      <c r="F94">
        <f>COUNT(A82:A93)</f>
        <v>8</v>
      </c>
    </row>
    <row r="96" spans="1:10" x14ac:dyDescent="0.3">
      <c r="E96" t="s">
        <v>57</v>
      </c>
      <c r="F96">
        <f>169.35+1.15-164</f>
        <v>6.5</v>
      </c>
    </row>
    <row r="97" spans="1:10" x14ac:dyDescent="0.3">
      <c r="E97" t="s">
        <v>58</v>
      </c>
      <c r="F97">
        <f>(169.35+1.15-158.5)</f>
        <v>12</v>
      </c>
    </row>
    <row r="101" spans="1:10" x14ac:dyDescent="0.3">
      <c r="A101" s="3" t="s">
        <v>32</v>
      </c>
      <c r="B101" s="3" t="s">
        <v>33</v>
      </c>
      <c r="C101" s="3" t="s">
        <v>34</v>
      </c>
      <c r="D101" s="3"/>
      <c r="E101" s="3" t="s">
        <v>65</v>
      </c>
      <c r="F101" s="3"/>
      <c r="G101" s="3"/>
      <c r="H101" s="3"/>
      <c r="I101" s="3"/>
      <c r="J101" s="3"/>
    </row>
    <row r="102" spans="1:10" x14ac:dyDescent="0.3">
      <c r="A102">
        <v>0</v>
      </c>
      <c r="B102">
        <v>0</v>
      </c>
      <c r="C102">
        <v>0</v>
      </c>
      <c r="E102" t="s">
        <v>49</v>
      </c>
      <c r="F102" t="s">
        <v>66</v>
      </c>
    </row>
    <row r="103" spans="1:10" x14ac:dyDescent="0.3">
      <c r="A103">
        <v>0</v>
      </c>
      <c r="B103">
        <f>F103</f>
        <v>1.5804583333333333</v>
      </c>
      <c r="C103">
        <v>0</v>
      </c>
      <c r="E103" t="s">
        <v>35</v>
      </c>
      <c r="F103" s="5">
        <f t="shared" ref="F103:F109" si="3">F3+(F63-F3)*$F$116/$F$117</f>
        <v>1.5804583333333333</v>
      </c>
    </row>
    <row r="104" spans="1:10" x14ac:dyDescent="0.3">
      <c r="A104">
        <f>F105</f>
        <v>1.4582083333333333</v>
      </c>
      <c r="B104">
        <f>F103</f>
        <v>1.5804583333333333</v>
      </c>
      <c r="C104">
        <v>0</v>
      </c>
      <c r="E104" t="s">
        <v>36</v>
      </c>
      <c r="F104" s="5">
        <f t="shared" si="3"/>
        <v>1.5714166666666667</v>
      </c>
    </row>
    <row r="105" spans="1:10" x14ac:dyDescent="0.3">
      <c r="A105">
        <f>F105</f>
        <v>1.4582083333333333</v>
      </c>
      <c r="B105">
        <f>F109</f>
        <v>0.48</v>
      </c>
      <c r="C105">
        <v>0</v>
      </c>
      <c r="E105" t="s">
        <v>37</v>
      </c>
      <c r="F105" s="5">
        <f t="shared" si="3"/>
        <v>1.4582083333333333</v>
      </c>
    </row>
    <row r="106" spans="1:10" x14ac:dyDescent="0.3">
      <c r="A106">
        <f xml:space="preserve"> (F105 + F108)</f>
        <v>14.12575</v>
      </c>
      <c r="B106">
        <f>SlabHeigth</f>
        <v>0.48</v>
      </c>
      <c r="C106">
        <v>0</v>
      </c>
      <c r="E106" t="s">
        <v>38</v>
      </c>
      <c r="F106" s="5">
        <f t="shared" si="3"/>
        <v>1.4310833333333333</v>
      </c>
    </row>
    <row r="107" spans="1:10" x14ac:dyDescent="0.3">
      <c r="A107">
        <f>(F105 + F108)</f>
        <v>14.12575</v>
      </c>
      <c r="B107">
        <f>F104</f>
        <v>1.5714166666666667</v>
      </c>
      <c r="C107">
        <v>0</v>
      </c>
      <c r="E107" t="s">
        <v>39</v>
      </c>
      <c r="F107" s="5">
        <f t="shared" si="3"/>
        <v>15.556833333333334</v>
      </c>
    </row>
    <row r="108" spans="1:10" x14ac:dyDescent="0.3">
      <c r="A108">
        <f>F107</f>
        <v>15.556833333333334</v>
      </c>
      <c r="B108">
        <f>F104</f>
        <v>1.5714166666666667</v>
      </c>
      <c r="C108">
        <v>0</v>
      </c>
      <c r="E108" t="s">
        <v>40</v>
      </c>
      <c r="F108" s="5">
        <f t="shared" si="3"/>
        <v>12.667541666666667</v>
      </c>
    </row>
    <row r="109" spans="1:10" x14ac:dyDescent="0.3">
      <c r="A109">
        <f>F107</f>
        <v>15.556833333333334</v>
      </c>
      <c r="B109">
        <v>0</v>
      </c>
      <c r="C109">
        <v>0</v>
      </c>
      <c r="E109" t="s">
        <v>41</v>
      </c>
      <c r="F109" s="5">
        <f t="shared" si="3"/>
        <v>0.48</v>
      </c>
    </row>
    <row r="111" spans="1:10" x14ac:dyDescent="0.3">
      <c r="E111" t="s">
        <v>42</v>
      </c>
      <c r="F111" s="5">
        <f xml:space="preserve"> ((F105 / 2 * F105 * F103) + (F105 + F108 / 2) * F108 * F109 + (F105 + F108 + F106 / 2) * F106 * F104) / (F105 * F103 + F108 * F109 + F106 * F104)</f>
        <v>7.75204325521503</v>
      </c>
    </row>
    <row r="112" spans="1:10" x14ac:dyDescent="0.3">
      <c r="E112" t="s">
        <v>43</v>
      </c>
      <c r="F112">
        <f>((F103 / 2 * F105 * heightBeamLeft) + (F109 / 2) * F108 * F109 + (F104 / 2) * F106 * F104) / (F105 * F103 + F108 * F109 + F106 * F104)</f>
        <v>0.45834982719897749</v>
      </c>
    </row>
    <row r="114" spans="5:6" x14ac:dyDescent="0.3">
      <c r="E114" t="s">
        <v>44</v>
      </c>
      <c r="F114">
        <f>COUNT(A102:A113)</f>
        <v>8</v>
      </c>
    </row>
    <row r="116" spans="5:6" x14ac:dyDescent="0.3">
      <c r="E116" t="s">
        <v>57</v>
      </c>
      <c r="F116">
        <v>1.1499999999999999</v>
      </c>
    </row>
    <row r="117" spans="5:6" x14ac:dyDescent="0.3">
      <c r="E117" t="s">
        <v>58</v>
      </c>
      <c r="F117">
        <f>(169.35+1.15-158.5)</f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CFBE-3B25-46A5-AC6F-1C6B16421B34}">
  <sheetPr codeName="Sheet10"/>
  <dimension ref="A1:Q14"/>
  <sheetViews>
    <sheetView topLeftCell="E1" workbookViewId="0">
      <selection activeCell="G12" sqref="G12"/>
    </sheetView>
  </sheetViews>
  <sheetFormatPr defaultRowHeight="14.4" x14ac:dyDescent="0.3"/>
  <cols>
    <col min="1" max="1" width="14.44140625" bestFit="1" customWidth="1"/>
    <col min="2" max="9" width="14.44140625" customWidth="1"/>
    <col min="10" max="10" width="16.109375" bestFit="1" customWidth="1"/>
    <col min="11" max="16" width="14.44140625" customWidth="1"/>
    <col min="17" max="17" width="28" bestFit="1" customWidth="1"/>
  </cols>
  <sheetData>
    <row r="1" spans="1:17" x14ac:dyDescent="0.3">
      <c r="A1" t="s">
        <v>116</v>
      </c>
      <c r="B1" t="s">
        <v>161</v>
      </c>
      <c r="C1" t="s">
        <v>155</v>
      </c>
      <c r="D1" t="s">
        <v>156</v>
      </c>
      <c r="E1" t="s">
        <v>157</v>
      </c>
      <c r="F1" t="s">
        <v>158</v>
      </c>
      <c r="G1" t="s">
        <v>159</v>
      </c>
      <c r="H1" t="s">
        <v>160</v>
      </c>
      <c r="I1" t="s">
        <v>162</v>
      </c>
      <c r="J1" t="s">
        <v>163</v>
      </c>
      <c r="K1" t="s">
        <v>164</v>
      </c>
      <c r="L1" t="s">
        <v>165</v>
      </c>
      <c r="M1" t="s">
        <v>166</v>
      </c>
      <c r="N1" t="s">
        <v>167</v>
      </c>
      <c r="O1" t="s">
        <v>142</v>
      </c>
      <c r="P1" t="s">
        <v>170</v>
      </c>
      <c r="Q1" t="s">
        <v>13</v>
      </c>
    </row>
    <row r="2" spans="1:17" x14ac:dyDescent="0.3">
      <c r="A2" t="s">
        <v>50</v>
      </c>
      <c r="B2" s="1">
        <v>2</v>
      </c>
      <c r="C2" t="str">
        <f>Secoes!F2</f>
        <v>deck_POF</v>
      </c>
      <c r="D2" t="str">
        <f>Secoes!F2</f>
        <v>deck_POF</v>
      </c>
      <c r="E2">
        <f xml:space="preserve"> (129.15-1.15) - 122.15</f>
        <v>5.8499999999999943</v>
      </c>
      <c r="F2">
        <v>2</v>
      </c>
      <c r="G2">
        <v>1</v>
      </c>
      <c r="H2">
        <v>1</v>
      </c>
      <c r="I2" t="str">
        <f>Secoes!F2</f>
        <v>deck_POF</v>
      </c>
      <c r="J2" t="str">
        <f>Secoes!F22</f>
        <v>deck_POF_129_15</v>
      </c>
      <c r="K2">
        <f xml:space="preserve"> 129.15 - 128</f>
        <v>1.1500000000000057</v>
      </c>
      <c r="L2">
        <v>2</v>
      </c>
      <c r="M2">
        <v>1</v>
      </c>
      <c r="N2">
        <v>1</v>
      </c>
      <c r="O2" t="s">
        <v>168</v>
      </c>
      <c r="P2" s="1">
        <v>0</v>
      </c>
      <c r="Q2" t="s">
        <v>154</v>
      </c>
    </row>
    <row r="3" spans="1:17" x14ac:dyDescent="0.3">
      <c r="A3" t="s">
        <v>51</v>
      </c>
      <c r="B3" s="1">
        <v>1</v>
      </c>
      <c r="C3" t="s">
        <v>56</v>
      </c>
      <c r="D3" t="s">
        <v>61</v>
      </c>
      <c r="E3">
        <f xml:space="preserve"> 135 - 129.15</f>
        <v>5.8499999999999943</v>
      </c>
      <c r="F3">
        <v>2</v>
      </c>
      <c r="G3">
        <v>1</v>
      </c>
      <c r="H3">
        <v>1</v>
      </c>
      <c r="O3" t="s">
        <v>173</v>
      </c>
      <c r="P3" s="1">
        <v>0.42899999999999999</v>
      </c>
      <c r="Q3" t="s">
        <v>175</v>
      </c>
    </row>
    <row r="4" spans="1:17" x14ac:dyDescent="0.3">
      <c r="A4" t="s">
        <v>53</v>
      </c>
      <c r="B4" s="1">
        <v>1</v>
      </c>
      <c r="C4" t="s">
        <v>61</v>
      </c>
      <c r="D4" s="4" t="s">
        <v>52</v>
      </c>
      <c r="E4">
        <f>(141-135)</f>
        <v>6</v>
      </c>
      <c r="F4">
        <v>2</v>
      </c>
      <c r="G4">
        <v>1</v>
      </c>
      <c r="H4">
        <v>1</v>
      </c>
      <c r="O4" t="s">
        <v>173</v>
      </c>
      <c r="P4" s="1">
        <v>0.42899999999999999</v>
      </c>
      <c r="Q4" t="s">
        <v>176</v>
      </c>
    </row>
    <row r="5" spans="1:17" x14ac:dyDescent="0.3">
      <c r="A5" t="s">
        <v>54</v>
      </c>
      <c r="B5" s="1">
        <v>1</v>
      </c>
      <c r="C5" s="4" t="s">
        <v>52</v>
      </c>
      <c r="D5" t="s">
        <v>64</v>
      </c>
      <c r="E5">
        <f xml:space="preserve"> 164 - 158.5</f>
        <v>5.5</v>
      </c>
      <c r="F5">
        <v>2</v>
      </c>
      <c r="G5">
        <v>1</v>
      </c>
      <c r="H5">
        <v>1</v>
      </c>
      <c r="O5" t="s">
        <v>173</v>
      </c>
      <c r="P5" s="1">
        <v>0.42899999999999999</v>
      </c>
      <c r="Q5" t="s">
        <v>177</v>
      </c>
    </row>
    <row r="6" spans="1:17" x14ac:dyDescent="0.3">
      <c r="A6" t="s">
        <v>55</v>
      </c>
      <c r="B6" s="1">
        <v>1</v>
      </c>
      <c r="C6" t="s">
        <v>64</v>
      </c>
      <c r="D6" t="s">
        <v>66</v>
      </c>
      <c r="E6">
        <f xml:space="preserve"> 169.35 - 164</f>
        <v>5.3499999999999943</v>
      </c>
      <c r="F6">
        <v>2</v>
      </c>
      <c r="G6">
        <v>1</v>
      </c>
      <c r="H6">
        <v>1</v>
      </c>
      <c r="O6" t="s">
        <v>173</v>
      </c>
      <c r="P6" s="1">
        <v>0.42899999999999999</v>
      </c>
      <c r="Q6" t="s">
        <v>178</v>
      </c>
    </row>
    <row r="7" spans="1:17" x14ac:dyDescent="0.3">
      <c r="A7" t="s">
        <v>169</v>
      </c>
      <c r="B7" s="1">
        <v>2</v>
      </c>
      <c r="C7" t="s">
        <v>66</v>
      </c>
      <c r="D7" t="s">
        <v>48</v>
      </c>
      <c r="E7">
        <f xml:space="preserve"> 170.5 - 169.35</f>
        <v>1.1500000000000057</v>
      </c>
      <c r="F7">
        <v>2</v>
      </c>
      <c r="G7">
        <v>1</v>
      </c>
      <c r="H7">
        <v>1</v>
      </c>
      <c r="I7" t="s">
        <v>48</v>
      </c>
      <c r="J7" t="s">
        <v>48</v>
      </c>
      <c r="K7">
        <f xml:space="preserve"> 175.85 - 170.5</f>
        <v>5.3499999999999943</v>
      </c>
      <c r="L7">
        <v>2</v>
      </c>
      <c r="M7">
        <v>1</v>
      </c>
      <c r="N7">
        <v>1</v>
      </c>
      <c r="O7" t="s">
        <v>173</v>
      </c>
      <c r="P7" s="1">
        <v>0.42899999999999999</v>
      </c>
      <c r="Q7" t="s">
        <v>179</v>
      </c>
    </row>
    <row r="13" spans="1:17" x14ac:dyDescent="0.3">
      <c r="A13" s="11" t="s">
        <v>153</v>
      </c>
      <c r="B13" s="11"/>
      <c r="C13" s="11"/>
    </row>
    <row r="14" spans="1:17" x14ac:dyDescent="0.3">
      <c r="A14" s="17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D0D9-7956-4552-ABED-4BEC064C9CCA}">
  <sheetPr codeName="Sheet1"/>
  <dimension ref="A1:M46"/>
  <sheetViews>
    <sheetView workbookViewId="0">
      <selection activeCell="M2" sqref="M2"/>
    </sheetView>
  </sheetViews>
  <sheetFormatPr defaultRowHeight="14.4" x14ac:dyDescent="0.3"/>
  <cols>
    <col min="8" max="8" width="8.88671875" style="1"/>
    <col min="9" max="10" width="23.6640625" style="1" customWidth="1"/>
    <col min="11" max="11" width="19.77734375" bestFit="1" customWidth="1"/>
    <col min="12" max="12" width="19.77734375" customWidth="1"/>
  </cols>
  <sheetData>
    <row r="1" spans="1:13" x14ac:dyDescent="0.3">
      <c r="A1" t="s">
        <v>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s="1" t="s">
        <v>290</v>
      </c>
      <c r="I1" s="1" t="s">
        <v>47</v>
      </c>
      <c r="J1" s="1" t="s">
        <v>172</v>
      </c>
      <c r="K1" t="s">
        <v>141</v>
      </c>
      <c r="L1" s="1" t="s">
        <v>151</v>
      </c>
      <c r="M1" t="s">
        <v>296</v>
      </c>
    </row>
    <row r="2" spans="1:13" x14ac:dyDescent="0.3">
      <c r="A2">
        <v>1</v>
      </c>
      <c r="B2">
        <v>0</v>
      </c>
      <c r="C2">
        <v>0</v>
      </c>
      <c r="D2">
        <v>0</v>
      </c>
      <c r="E2">
        <v>5</v>
      </c>
      <c r="F2">
        <v>0</v>
      </c>
      <c r="G2">
        <v>0</v>
      </c>
      <c r="H2" s="1" t="s">
        <v>291</v>
      </c>
      <c r="I2" s="1" t="s">
        <v>48</v>
      </c>
      <c r="J2" s="1" t="s">
        <v>168</v>
      </c>
      <c r="K2" t="s">
        <v>15</v>
      </c>
      <c r="M2" s="1">
        <f>COUNT(A2:A104)</f>
        <v>44</v>
      </c>
    </row>
    <row r="3" spans="1:13" x14ac:dyDescent="0.3">
      <c r="A3">
        <v>2</v>
      </c>
      <c r="B3">
        <f>E2</f>
        <v>5</v>
      </c>
      <c r="C3">
        <f>F2</f>
        <v>0</v>
      </c>
      <c r="D3">
        <f>G2</f>
        <v>0</v>
      </c>
      <c r="E3">
        <v>10.15</v>
      </c>
      <c r="F3">
        <v>0</v>
      </c>
      <c r="G3">
        <v>0</v>
      </c>
      <c r="I3" s="1" t="s">
        <v>48</v>
      </c>
      <c r="J3" s="1" t="s">
        <v>168</v>
      </c>
    </row>
    <row r="4" spans="1:13" x14ac:dyDescent="0.3">
      <c r="A4">
        <v>3</v>
      </c>
      <c r="B4">
        <f t="shared" ref="B4:B45" si="0">E3</f>
        <v>10.15</v>
      </c>
      <c r="C4">
        <f t="shared" ref="C4:C45" si="1">F3</f>
        <v>0</v>
      </c>
      <c r="D4">
        <f t="shared" ref="D4:D45" si="2">G3</f>
        <v>0</v>
      </c>
      <c r="E4">
        <v>17.149999999999999</v>
      </c>
      <c r="F4">
        <v>0</v>
      </c>
      <c r="G4">
        <v>0</v>
      </c>
      <c r="I4" s="1" t="s">
        <v>48</v>
      </c>
      <c r="J4" s="1" t="s">
        <v>168</v>
      </c>
      <c r="K4" t="s">
        <v>67</v>
      </c>
      <c r="M4" s="4" t="s">
        <v>297</v>
      </c>
    </row>
    <row r="5" spans="1:13" x14ac:dyDescent="0.3">
      <c r="A5">
        <v>4</v>
      </c>
      <c r="B5">
        <f t="shared" si="0"/>
        <v>17.149999999999999</v>
      </c>
      <c r="C5">
        <f t="shared" si="1"/>
        <v>0</v>
      </c>
      <c r="D5">
        <f t="shared" si="2"/>
        <v>0</v>
      </c>
      <c r="E5">
        <v>24.15</v>
      </c>
      <c r="F5">
        <v>0</v>
      </c>
      <c r="G5">
        <v>0</v>
      </c>
      <c r="I5" s="1" t="s">
        <v>48</v>
      </c>
      <c r="J5" s="1" t="s">
        <v>168</v>
      </c>
      <c r="K5" t="s">
        <v>188</v>
      </c>
      <c r="M5" s="1">
        <f>M2+1</f>
        <v>45</v>
      </c>
    </row>
    <row r="6" spans="1:13" x14ac:dyDescent="0.3">
      <c r="A6">
        <v>5</v>
      </c>
      <c r="B6">
        <f t="shared" si="0"/>
        <v>24.15</v>
      </c>
      <c r="C6">
        <f t="shared" si="1"/>
        <v>0</v>
      </c>
      <c r="D6">
        <f t="shared" si="2"/>
        <v>0</v>
      </c>
      <c r="E6">
        <v>31.15</v>
      </c>
      <c r="F6">
        <v>0</v>
      </c>
      <c r="G6">
        <v>0</v>
      </c>
      <c r="I6" s="1" t="s">
        <v>48</v>
      </c>
      <c r="J6" s="1" t="s">
        <v>168</v>
      </c>
      <c r="K6" t="s">
        <v>191</v>
      </c>
    </row>
    <row r="7" spans="1:13" x14ac:dyDescent="0.3">
      <c r="A7">
        <v>6</v>
      </c>
      <c r="B7">
        <f t="shared" si="0"/>
        <v>31.15</v>
      </c>
      <c r="C7">
        <f t="shared" si="1"/>
        <v>0</v>
      </c>
      <c r="D7">
        <f t="shared" si="2"/>
        <v>0</v>
      </c>
      <c r="E7">
        <v>38.15</v>
      </c>
      <c r="F7">
        <v>0</v>
      </c>
      <c r="G7">
        <v>0</v>
      </c>
      <c r="I7" s="1" t="s">
        <v>48</v>
      </c>
      <c r="J7" s="1" t="s">
        <v>168</v>
      </c>
      <c r="K7" t="s">
        <v>192</v>
      </c>
    </row>
    <row r="8" spans="1:13" x14ac:dyDescent="0.3">
      <c r="A8">
        <v>7</v>
      </c>
      <c r="B8">
        <f t="shared" si="0"/>
        <v>38.15</v>
      </c>
      <c r="C8">
        <f t="shared" si="1"/>
        <v>0</v>
      </c>
      <c r="D8">
        <f t="shared" si="2"/>
        <v>0</v>
      </c>
      <c r="E8">
        <v>45.15</v>
      </c>
      <c r="F8">
        <v>0</v>
      </c>
      <c r="G8">
        <v>0</v>
      </c>
      <c r="I8" s="1" t="s">
        <v>48</v>
      </c>
      <c r="J8" s="1" t="s">
        <v>168</v>
      </c>
      <c r="K8" t="s">
        <v>193</v>
      </c>
    </row>
    <row r="9" spans="1:13" x14ac:dyDescent="0.3">
      <c r="A9">
        <v>8</v>
      </c>
      <c r="B9">
        <f t="shared" si="0"/>
        <v>45.15</v>
      </c>
      <c r="C9">
        <f t="shared" si="1"/>
        <v>0</v>
      </c>
      <c r="D9">
        <f t="shared" si="2"/>
        <v>0</v>
      </c>
      <c r="E9">
        <v>52.15</v>
      </c>
      <c r="F9">
        <v>0</v>
      </c>
      <c r="G9">
        <v>0</v>
      </c>
      <c r="I9" s="1" t="s">
        <v>48</v>
      </c>
      <c r="J9" s="1" t="s">
        <v>168</v>
      </c>
      <c r="K9" t="s">
        <v>194</v>
      </c>
    </row>
    <row r="10" spans="1:13" x14ac:dyDescent="0.3">
      <c r="A10">
        <v>9</v>
      </c>
      <c r="B10">
        <f t="shared" si="0"/>
        <v>52.15</v>
      </c>
      <c r="C10">
        <f t="shared" si="1"/>
        <v>0</v>
      </c>
      <c r="D10">
        <f t="shared" si="2"/>
        <v>0</v>
      </c>
      <c r="E10">
        <v>59.15</v>
      </c>
      <c r="F10">
        <v>0</v>
      </c>
      <c r="G10">
        <v>0</v>
      </c>
      <c r="I10" s="1" t="s">
        <v>48</v>
      </c>
      <c r="J10" s="1" t="s">
        <v>168</v>
      </c>
      <c r="K10" t="s">
        <v>195</v>
      </c>
    </row>
    <row r="11" spans="1:13" x14ac:dyDescent="0.3">
      <c r="A11">
        <v>10</v>
      </c>
      <c r="B11">
        <f t="shared" si="0"/>
        <v>59.15</v>
      </c>
      <c r="C11">
        <f t="shared" si="1"/>
        <v>0</v>
      </c>
      <c r="D11">
        <f t="shared" si="2"/>
        <v>0</v>
      </c>
      <c r="E11">
        <v>66.150000000000006</v>
      </c>
      <c r="F11">
        <v>0</v>
      </c>
      <c r="G11">
        <v>0</v>
      </c>
      <c r="I11" s="1" t="s">
        <v>48</v>
      </c>
      <c r="J11" s="1" t="s">
        <v>168</v>
      </c>
      <c r="K11" t="s">
        <v>196</v>
      </c>
    </row>
    <row r="12" spans="1:13" x14ac:dyDescent="0.3">
      <c r="A12">
        <v>11</v>
      </c>
      <c r="B12">
        <f t="shared" si="0"/>
        <v>66.150000000000006</v>
      </c>
      <c r="C12">
        <f t="shared" si="1"/>
        <v>0</v>
      </c>
      <c r="D12">
        <f t="shared" si="2"/>
        <v>0</v>
      </c>
      <c r="E12">
        <v>73.150000000000006</v>
      </c>
      <c r="F12">
        <v>0</v>
      </c>
      <c r="G12">
        <v>0</v>
      </c>
      <c r="I12" s="1" t="s">
        <v>48</v>
      </c>
      <c r="J12" s="1" t="s">
        <v>168</v>
      </c>
      <c r="K12" t="s">
        <v>197</v>
      </c>
    </row>
    <row r="13" spans="1:13" x14ac:dyDescent="0.3">
      <c r="A13">
        <v>12</v>
      </c>
      <c r="B13">
        <f t="shared" si="0"/>
        <v>73.150000000000006</v>
      </c>
      <c r="C13">
        <f t="shared" si="1"/>
        <v>0</v>
      </c>
      <c r="D13">
        <f t="shared" si="2"/>
        <v>0</v>
      </c>
      <c r="E13">
        <v>80.150000000000006</v>
      </c>
      <c r="F13">
        <v>0</v>
      </c>
      <c r="G13">
        <v>0</v>
      </c>
      <c r="I13" s="1" t="s">
        <v>48</v>
      </c>
      <c r="J13" s="1" t="s">
        <v>168</v>
      </c>
      <c r="K13" t="s">
        <v>198</v>
      </c>
    </row>
    <row r="14" spans="1:13" x14ac:dyDescent="0.3">
      <c r="A14">
        <v>13</v>
      </c>
      <c r="B14">
        <f t="shared" si="0"/>
        <v>80.150000000000006</v>
      </c>
      <c r="C14">
        <f t="shared" si="1"/>
        <v>0</v>
      </c>
      <c r="D14">
        <f t="shared" si="2"/>
        <v>0</v>
      </c>
      <c r="E14">
        <v>87.15</v>
      </c>
      <c r="F14">
        <v>0</v>
      </c>
      <c r="G14">
        <v>0</v>
      </c>
      <c r="I14" s="1" t="s">
        <v>48</v>
      </c>
      <c r="J14" s="1" t="s">
        <v>168</v>
      </c>
      <c r="K14" t="s">
        <v>199</v>
      </c>
    </row>
    <row r="15" spans="1:13" x14ac:dyDescent="0.3">
      <c r="A15">
        <v>14</v>
      </c>
      <c r="B15">
        <f t="shared" si="0"/>
        <v>87.15</v>
      </c>
      <c r="C15">
        <f t="shared" si="1"/>
        <v>0</v>
      </c>
      <c r="D15">
        <f t="shared" si="2"/>
        <v>0</v>
      </c>
      <c r="E15">
        <v>94.15</v>
      </c>
      <c r="F15">
        <v>0</v>
      </c>
      <c r="G15">
        <v>0</v>
      </c>
      <c r="I15" s="1" t="s">
        <v>48</v>
      </c>
      <c r="J15" s="1" t="s">
        <v>168</v>
      </c>
      <c r="K15" t="s">
        <v>200</v>
      </c>
    </row>
    <row r="16" spans="1:13" x14ac:dyDescent="0.3">
      <c r="A16">
        <v>15</v>
      </c>
      <c r="B16">
        <f t="shared" si="0"/>
        <v>94.15</v>
      </c>
      <c r="C16">
        <f t="shared" si="1"/>
        <v>0</v>
      </c>
      <c r="D16">
        <f t="shared" si="2"/>
        <v>0</v>
      </c>
      <c r="E16">
        <v>101.15</v>
      </c>
      <c r="F16">
        <v>0</v>
      </c>
      <c r="G16">
        <v>0</v>
      </c>
      <c r="I16" s="1" t="s">
        <v>48</v>
      </c>
      <c r="J16" s="1" t="s">
        <v>168</v>
      </c>
      <c r="K16" t="s">
        <v>201</v>
      </c>
    </row>
    <row r="17" spans="1:12" x14ac:dyDescent="0.3">
      <c r="A17">
        <v>16</v>
      </c>
      <c r="B17">
        <f t="shared" si="0"/>
        <v>101.15</v>
      </c>
      <c r="C17">
        <f t="shared" si="1"/>
        <v>0</v>
      </c>
      <c r="D17">
        <f t="shared" si="2"/>
        <v>0</v>
      </c>
      <c r="E17">
        <v>108.15</v>
      </c>
      <c r="F17">
        <v>0</v>
      </c>
      <c r="G17">
        <v>0</v>
      </c>
      <c r="I17" s="1" t="s">
        <v>48</v>
      </c>
      <c r="J17" s="1" t="s">
        <v>168</v>
      </c>
      <c r="K17" t="s">
        <v>202</v>
      </c>
    </row>
    <row r="18" spans="1:12" x14ac:dyDescent="0.3">
      <c r="A18">
        <v>17</v>
      </c>
      <c r="B18">
        <f t="shared" si="0"/>
        <v>108.15</v>
      </c>
      <c r="C18">
        <f t="shared" si="1"/>
        <v>0</v>
      </c>
      <c r="D18">
        <f t="shared" si="2"/>
        <v>0</v>
      </c>
      <c r="E18">
        <v>115.15</v>
      </c>
      <c r="F18">
        <v>0</v>
      </c>
      <c r="G18">
        <v>0</v>
      </c>
      <c r="I18" s="1" t="s">
        <v>48</v>
      </c>
      <c r="J18" s="1" t="s">
        <v>168</v>
      </c>
      <c r="K18" t="s">
        <v>203</v>
      </c>
    </row>
    <row r="19" spans="1:12" x14ac:dyDescent="0.3">
      <c r="A19">
        <v>18</v>
      </c>
      <c r="B19">
        <f t="shared" si="0"/>
        <v>115.15</v>
      </c>
      <c r="C19">
        <f t="shared" si="1"/>
        <v>0</v>
      </c>
      <c r="D19">
        <f t="shared" si="2"/>
        <v>0</v>
      </c>
      <c r="E19">
        <v>122.15</v>
      </c>
      <c r="F19">
        <v>0</v>
      </c>
      <c r="G19">
        <v>0</v>
      </c>
      <c r="I19" s="1" t="s">
        <v>48</v>
      </c>
      <c r="J19" s="1" t="s">
        <v>168</v>
      </c>
      <c r="K19" t="s">
        <v>204</v>
      </c>
    </row>
    <row r="20" spans="1:12" x14ac:dyDescent="0.3">
      <c r="A20">
        <v>19</v>
      </c>
      <c r="B20">
        <f t="shared" si="0"/>
        <v>122.15</v>
      </c>
      <c r="C20">
        <f t="shared" si="1"/>
        <v>0</v>
      </c>
      <c r="D20">
        <f t="shared" si="2"/>
        <v>0</v>
      </c>
      <c r="E20">
        <v>129.15</v>
      </c>
      <c r="F20">
        <v>0</v>
      </c>
      <c r="G20">
        <v>0</v>
      </c>
      <c r="I20" s="1" t="s">
        <v>50</v>
      </c>
      <c r="J20" s="1" t="s">
        <v>168</v>
      </c>
      <c r="K20" t="s">
        <v>144</v>
      </c>
      <c r="L20" t="s">
        <v>143</v>
      </c>
    </row>
    <row r="21" spans="1:12" x14ac:dyDescent="0.3">
      <c r="A21">
        <v>20</v>
      </c>
      <c r="B21">
        <f t="shared" si="0"/>
        <v>129.15</v>
      </c>
      <c r="C21">
        <f t="shared" si="1"/>
        <v>0</v>
      </c>
      <c r="D21">
        <f t="shared" si="2"/>
        <v>0</v>
      </c>
      <c r="E21">
        <f>B21+(7-1.15)</f>
        <v>135</v>
      </c>
      <c r="F21">
        <v>0</v>
      </c>
      <c r="G21">
        <v>0</v>
      </c>
      <c r="I21" s="1" t="s">
        <v>51</v>
      </c>
      <c r="J21" s="1" t="s">
        <v>174</v>
      </c>
      <c r="K21" t="s">
        <v>145</v>
      </c>
      <c r="L21" t="s">
        <v>171</v>
      </c>
    </row>
    <row r="22" spans="1:12" x14ac:dyDescent="0.3">
      <c r="A22">
        <f>A21+1</f>
        <v>21</v>
      </c>
      <c r="B22">
        <f t="shared" ref="B22:D27" si="3">E21</f>
        <v>135</v>
      </c>
      <c r="C22">
        <f t="shared" si="3"/>
        <v>0</v>
      </c>
      <c r="D22">
        <f t="shared" si="3"/>
        <v>0</v>
      </c>
      <c r="E22">
        <f>B22+6</f>
        <v>141</v>
      </c>
      <c r="F22">
        <v>0</v>
      </c>
      <c r="G22">
        <v>0</v>
      </c>
      <c r="I22" s="1" t="s">
        <v>53</v>
      </c>
      <c r="L22" t="s">
        <v>171</v>
      </c>
    </row>
    <row r="23" spans="1:12" x14ac:dyDescent="0.3">
      <c r="A23">
        <f>A22+1</f>
        <v>22</v>
      </c>
      <c r="B23">
        <f t="shared" si="3"/>
        <v>141</v>
      </c>
      <c r="C23">
        <f t="shared" si="3"/>
        <v>0</v>
      </c>
      <c r="D23">
        <f t="shared" si="3"/>
        <v>0</v>
      </c>
      <c r="E23">
        <f>B23+9</f>
        <v>150</v>
      </c>
      <c r="F23">
        <v>0</v>
      </c>
      <c r="G23">
        <v>0</v>
      </c>
      <c r="I23" s="1" t="s">
        <v>52</v>
      </c>
      <c r="K23" t="s">
        <v>14</v>
      </c>
      <c r="L23" t="s">
        <v>146</v>
      </c>
    </row>
    <row r="24" spans="1:12" x14ac:dyDescent="0.3">
      <c r="A24">
        <f t="shared" ref="A24" si="4">A23+1</f>
        <v>23</v>
      </c>
      <c r="B24">
        <f t="shared" si="3"/>
        <v>150</v>
      </c>
      <c r="C24">
        <f t="shared" si="3"/>
        <v>0</v>
      </c>
      <c r="D24">
        <f t="shared" si="3"/>
        <v>0</v>
      </c>
      <c r="E24">
        <f>B24+8.5</f>
        <v>158.5</v>
      </c>
      <c r="F24">
        <v>0</v>
      </c>
      <c r="G24">
        <v>0</v>
      </c>
      <c r="H24" s="1" t="s">
        <v>292</v>
      </c>
      <c r="I24" s="1" t="s">
        <v>52</v>
      </c>
      <c r="L24" t="s">
        <v>147</v>
      </c>
    </row>
    <row r="25" spans="1:12" x14ac:dyDescent="0.3">
      <c r="A25">
        <f>A24+1</f>
        <v>24</v>
      </c>
      <c r="B25">
        <f t="shared" si="3"/>
        <v>158.5</v>
      </c>
      <c r="C25">
        <f t="shared" si="3"/>
        <v>0</v>
      </c>
      <c r="D25">
        <f t="shared" si="3"/>
        <v>0</v>
      </c>
      <c r="E25">
        <f>B25+5.5</f>
        <v>164</v>
      </c>
      <c r="F25">
        <v>0</v>
      </c>
      <c r="G25">
        <v>0</v>
      </c>
      <c r="I25" s="1" t="s">
        <v>53</v>
      </c>
      <c r="L25" t="s">
        <v>148</v>
      </c>
    </row>
    <row r="26" spans="1:12" x14ac:dyDescent="0.3">
      <c r="A26">
        <f>A25+1</f>
        <v>25</v>
      </c>
      <c r="B26">
        <f t="shared" si="3"/>
        <v>164</v>
      </c>
      <c r="C26">
        <f t="shared" si="3"/>
        <v>0</v>
      </c>
      <c r="D26">
        <f t="shared" si="3"/>
        <v>0</v>
      </c>
      <c r="E26">
        <f>B26+5.35</f>
        <v>169.35</v>
      </c>
      <c r="F26">
        <v>0</v>
      </c>
      <c r="G26">
        <v>0</v>
      </c>
      <c r="I26" s="1" t="s">
        <v>54</v>
      </c>
      <c r="L26" t="s">
        <v>148</v>
      </c>
    </row>
    <row r="27" spans="1:12" x14ac:dyDescent="0.3">
      <c r="A27">
        <f t="shared" ref="A27:A45" si="5">A26+1</f>
        <v>26</v>
      </c>
      <c r="B27">
        <f t="shared" si="3"/>
        <v>169.35</v>
      </c>
      <c r="C27">
        <f t="shared" si="3"/>
        <v>0</v>
      </c>
      <c r="D27">
        <f t="shared" si="3"/>
        <v>0</v>
      </c>
      <c r="E27">
        <f>B27+6.5</f>
        <v>175.85</v>
      </c>
      <c r="F27">
        <v>0</v>
      </c>
      <c r="G27">
        <v>0</v>
      </c>
      <c r="I27" s="1" t="s">
        <v>55</v>
      </c>
      <c r="K27" t="s">
        <v>149</v>
      </c>
      <c r="L27" t="s">
        <v>150</v>
      </c>
    </row>
    <row r="28" spans="1:12" x14ac:dyDescent="0.3">
      <c r="A28">
        <f>A27+1</f>
        <v>27</v>
      </c>
      <c r="B28">
        <f t="shared" ref="B28:D30" si="6">E27</f>
        <v>175.85</v>
      </c>
      <c r="C28">
        <f t="shared" si="6"/>
        <v>0</v>
      </c>
      <c r="D28">
        <f t="shared" si="6"/>
        <v>0</v>
      </c>
      <c r="E28">
        <f>B28+6.5</f>
        <v>182.35</v>
      </c>
      <c r="F28">
        <v>0</v>
      </c>
      <c r="G28">
        <v>0</v>
      </c>
      <c r="I28" s="1" t="s">
        <v>48</v>
      </c>
      <c r="K28" t="s">
        <v>68</v>
      </c>
    </row>
    <row r="29" spans="1:12" x14ac:dyDescent="0.3">
      <c r="A29">
        <f>A28+1</f>
        <v>28</v>
      </c>
      <c r="B29">
        <f t="shared" si="6"/>
        <v>182.35</v>
      </c>
      <c r="C29">
        <f t="shared" si="6"/>
        <v>0</v>
      </c>
      <c r="D29">
        <f t="shared" si="6"/>
        <v>0</v>
      </c>
      <c r="E29">
        <f>B29+6.5</f>
        <v>188.85</v>
      </c>
      <c r="F29">
        <v>0</v>
      </c>
      <c r="G29">
        <v>0</v>
      </c>
      <c r="I29" s="1" t="s">
        <v>48</v>
      </c>
      <c r="K29" t="s">
        <v>69</v>
      </c>
    </row>
    <row r="30" spans="1:12" x14ac:dyDescent="0.3">
      <c r="A30">
        <f>A29+1</f>
        <v>29</v>
      </c>
      <c r="B30">
        <f t="shared" si="6"/>
        <v>188.85</v>
      </c>
      <c r="C30">
        <f t="shared" si="6"/>
        <v>0</v>
      </c>
      <c r="D30">
        <f t="shared" si="6"/>
        <v>0</v>
      </c>
      <c r="E30">
        <v>195.35</v>
      </c>
      <c r="F30">
        <v>0</v>
      </c>
      <c r="G30">
        <v>0</v>
      </c>
      <c r="I30" s="1" t="s">
        <v>48</v>
      </c>
      <c r="K30" t="s">
        <v>74</v>
      </c>
    </row>
    <row r="31" spans="1:12" x14ac:dyDescent="0.3">
      <c r="A31">
        <f t="shared" si="5"/>
        <v>30</v>
      </c>
      <c r="B31">
        <f t="shared" si="0"/>
        <v>195.35</v>
      </c>
      <c r="C31">
        <f t="shared" si="1"/>
        <v>0</v>
      </c>
      <c r="D31">
        <f t="shared" si="2"/>
        <v>0</v>
      </c>
      <c r="E31">
        <v>201.85</v>
      </c>
      <c r="F31">
        <v>0</v>
      </c>
      <c r="G31">
        <v>0</v>
      </c>
      <c r="I31" s="1" t="s">
        <v>48</v>
      </c>
      <c r="K31" t="s">
        <v>70</v>
      </c>
    </row>
    <row r="32" spans="1:12" x14ac:dyDescent="0.3">
      <c r="A32">
        <f t="shared" si="5"/>
        <v>31</v>
      </c>
      <c r="B32">
        <f t="shared" si="0"/>
        <v>201.85</v>
      </c>
      <c r="C32">
        <f t="shared" si="1"/>
        <v>0</v>
      </c>
      <c r="D32">
        <f t="shared" si="2"/>
        <v>0</v>
      </c>
      <c r="E32">
        <v>208.35</v>
      </c>
      <c r="F32">
        <v>0</v>
      </c>
      <c r="G32">
        <v>0</v>
      </c>
      <c r="I32" s="1" t="s">
        <v>48</v>
      </c>
      <c r="K32" t="s">
        <v>71</v>
      </c>
    </row>
    <row r="33" spans="1:11" x14ac:dyDescent="0.3">
      <c r="A33">
        <f t="shared" si="5"/>
        <v>32</v>
      </c>
      <c r="B33">
        <f t="shared" si="0"/>
        <v>208.35</v>
      </c>
      <c r="C33">
        <f t="shared" si="1"/>
        <v>0</v>
      </c>
      <c r="D33">
        <f t="shared" si="2"/>
        <v>0</v>
      </c>
      <c r="E33">
        <v>214.85</v>
      </c>
      <c r="F33">
        <v>0</v>
      </c>
      <c r="G33">
        <v>0</v>
      </c>
      <c r="I33" s="1" t="s">
        <v>48</v>
      </c>
      <c r="K33" t="s">
        <v>72</v>
      </c>
    </row>
    <row r="34" spans="1:11" x14ac:dyDescent="0.3">
      <c r="A34">
        <f t="shared" si="5"/>
        <v>33</v>
      </c>
      <c r="B34">
        <f t="shared" si="0"/>
        <v>214.85</v>
      </c>
      <c r="C34">
        <f t="shared" si="1"/>
        <v>0</v>
      </c>
      <c r="D34">
        <f t="shared" si="2"/>
        <v>0</v>
      </c>
      <c r="E34">
        <v>221.35</v>
      </c>
      <c r="F34">
        <v>0</v>
      </c>
      <c r="G34">
        <v>0</v>
      </c>
      <c r="I34" s="1" t="s">
        <v>48</v>
      </c>
      <c r="K34" t="s">
        <v>73</v>
      </c>
    </row>
    <row r="35" spans="1:11" x14ac:dyDescent="0.3">
      <c r="A35">
        <f t="shared" si="5"/>
        <v>34</v>
      </c>
      <c r="B35">
        <f t="shared" si="0"/>
        <v>221.35</v>
      </c>
      <c r="C35">
        <f t="shared" si="1"/>
        <v>0</v>
      </c>
      <c r="D35">
        <f t="shared" si="2"/>
        <v>0</v>
      </c>
      <c r="E35">
        <v>227.85</v>
      </c>
      <c r="F35">
        <v>0</v>
      </c>
      <c r="G35">
        <v>0</v>
      </c>
      <c r="I35" s="1" t="s">
        <v>48</v>
      </c>
      <c r="K35" t="s">
        <v>75</v>
      </c>
    </row>
    <row r="36" spans="1:11" x14ac:dyDescent="0.3">
      <c r="A36">
        <f t="shared" si="5"/>
        <v>35</v>
      </c>
      <c r="B36">
        <f t="shared" si="0"/>
        <v>227.85</v>
      </c>
      <c r="C36">
        <f t="shared" si="1"/>
        <v>0</v>
      </c>
      <c r="D36">
        <f t="shared" si="2"/>
        <v>0</v>
      </c>
      <c r="E36">
        <v>234.35</v>
      </c>
      <c r="F36">
        <v>0</v>
      </c>
      <c r="G36">
        <v>0</v>
      </c>
      <c r="I36" s="1" t="s">
        <v>48</v>
      </c>
      <c r="K36" t="s">
        <v>205</v>
      </c>
    </row>
    <row r="37" spans="1:11" x14ac:dyDescent="0.3">
      <c r="A37">
        <f t="shared" si="5"/>
        <v>36</v>
      </c>
      <c r="B37">
        <f t="shared" si="0"/>
        <v>234.35</v>
      </c>
      <c r="C37">
        <f t="shared" si="1"/>
        <v>0</v>
      </c>
      <c r="D37">
        <f t="shared" si="2"/>
        <v>0</v>
      </c>
      <c r="E37">
        <v>240.85</v>
      </c>
      <c r="F37">
        <v>0</v>
      </c>
      <c r="G37">
        <v>0</v>
      </c>
      <c r="I37" s="1" t="s">
        <v>48</v>
      </c>
      <c r="K37" t="s">
        <v>206</v>
      </c>
    </row>
    <row r="38" spans="1:11" x14ac:dyDescent="0.3">
      <c r="A38">
        <f t="shared" si="5"/>
        <v>37</v>
      </c>
      <c r="B38">
        <f t="shared" si="0"/>
        <v>240.85</v>
      </c>
      <c r="C38">
        <f t="shared" si="1"/>
        <v>0</v>
      </c>
      <c r="D38">
        <f t="shared" si="2"/>
        <v>0</v>
      </c>
      <c r="E38">
        <v>247.35</v>
      </c>
      <c r="F38">
        <v>0</v>
      </c>
      <c r="G38">
        <v>0</v>
      </c>
      <c r="I38" s="1" t="s">
        <v>48</v>
      </c>
      <c r="K38" t="s">
        <v>207</v>
      </c>
    </row>
    <row r="39" spans="1:11" x14ac:dyDescent="0.3">
      <c r="A39">
        <f t="shared" si="5"/>
        <v>38</v>
      </c>
      <c r="B39">
        <f t="shared" si="0"/>
        <v>247.35</v>
      </c>
      <c r="C39">
        <f t="shared" si="1"/>
        <v>0</v>
      </c>
      <c r="D39">
        <f t="shared" si="2"/>
        <v>0</v>
      </c>
      <c r="E39">
        <v>253.85</v>
      </c>
      <c r="F39">
        <v>0</v>
      </c>
      <c r="G39">
        <v>0</v>
      </c>
      <c r="I39" s="1" t="s">
        <v>48</v>
      </c>
      <c r="K39" t="s">
        <v>208</v>
      </c>
    </row>
    <row r="40" spans="1:11" x14ac:dyDescent="0.3">
      <c r="A40">
        <f t="shared" si="5"/>
        <v>39</v>
      </c>
      <c r="B40">
        <f t="shared" si="0"/>
        <v>253.85</v>
      </c>
      <c r="C40">
        <f t="shared" si="1"/>
        <v>0</v>
      </c>
      <c r="D40">
        <f t="shared" si="2"/>
        <v>0</v>
      </c>
      <c r="E40">
        <v>260.35000000000002</v>
      </c>
      <c r="F40">
        <v>0</v>
      </c>
      <c r="G40">
        <v>0</v>
      </c>
      <c r="I40" s="1" t="s">
        <v>48</v>
      </c>
      <c r="K40" t="s">
        <v>209</v>
      </c>
    </row>
    <row r="41" spans="1:11" x14ac:dyDescent="0.3">
      <c r="A41">
        <f t="shared" si="5"/>
        <v>40</v>
      </c>
      <c r="B41">
        <f t="shared" si="0"/>
        <v>260.35000000000002</v>
      </c>
      <c r="C41">
        <f t="shared" si="1"/>
        <v>0</v>
      </c>
      <c r="D41">
        <f t="shared" si="2"/>
        <v>0</v>
      </c>
      <c r="E41">
        <v>266.85000000000002</v>
      </c>
      <c r="F41">
        <v>0</v>
      </c>
      <c r="G41">
        <v>0</v>
      </c>
      <c r="I41" s="1" t="s">
        <v>48</v>
      </c>
      <c r="K41" t="s">
        <v>210</v>
      </c>
    </row>
    <row r="42" spans="1:11" x14ac:dyDescent="0.3">
      <c r="A42">
        <f t="shared" si="5"/>
        <v>41</v>
      </c>
      <c r="B42">
        <f t="shared" si="0"/>
        <v>266.85000000000002</v>
      </c>
      <c r="C42">
        <f t="shared" si="1"/>
        <v>0</v>
      </c>
      <c r="D42">
        <f t="shared" si="2"/>
        <v>0</v>
      </c>
      <c r="E42">
        <v>273.35000000000002</v>
      </c>
      <c r="F42">
        <v>0</v>
      </c>
      <c r="G42">
        <v>0</v>
      </c>
      <c r="I42" s="1" t="s">
        <v>48</v>
      </c>
      <c r="K42" t="s">
        <v>211</v>
      </c>
    </row>
    <row r="43" spans="1:11" x14ac:dyDescent="0.3">
      <c r="A43">
        <f t="shared" si="5"/>
        <v>42</v>
      </c>
      <c r="B43">
        <f t="shared" si="0"/>
        <v>273.35000000000002</v>
      </c>
      <c r="C43">
        <f t="shared" si="1"/>
        <v>0</v>
      </c>
      <c r="D43">
        <f t="shared" si="2"/>
        <v>0</v>
      </c>
      <c r="E43">
        <v>279.85000000000002</v>
      </c>
      <c r="F43">
        <v>0</v>
      </c>
      <c r="G43">
        <v>0</v>
      </c>
      <c r="I43" s="1" t="s">
        <v>48</v>
      </c>
      <c r="K43" t="s">
        <v>212</v>
      </c>
    </row>
    <row r="44" spans="1:11" x14ac:dyDescent="0.3">
      <c r="A44">
        <f t="shared" si="5"/>
        <v>43</v>
      </c>
      <c r="B44">
        <f t="shared" si="0"/>
        <v>279.85000000000002</v>
      </c>
      <c r="C44">
        <f t="shared" si="1"/>
        <v>0</v>
      </c>
      <c r="D44">
        <f t="shared" si="2"/>
        <v>0</v>
      </c>
      <c r="E44">
        <v>283.5</v>
      </c>
      <c r="F44">
        <v>0</v>
      </c>
      <c r="G44">
        <v>0</v>
      </c>
      <c r="I44" s="1" t="s">
        <v>48</v>
      </c>
      <c r="K44" t="s">
        <v>213</v>
      </c>
    </row>
    <row r="45" spans="1:11" x14ac:dyDescent="0.3">
      <c r="A45">
        <f t="shared" si="5"/>
        <v>44</v>
      </c>
      <c r="B45">
        <f t="shared" si="0"/>
        <v>283.5</v>
      </c>
      <c r="C45">
        <f t="shared" si="1"/>
        <v>0</v>
      </c>
      <c r="D45">
        <f t="shared" si="2"/>
        <v>0</v>
      </c>
      <c r="E45">
        <v>290</v>
      </c>
      <c r="F45">
        <v>0</v>
      </c>
      <c r="G45">
        <v>0</v>
      </c>
      <c r="I45" s="1" t="s">
        <v>48</v>
      </c>
      <c r="K45" t="s">
        <v>295</v>
      </c>
    </row>
    <row r="46" spans="1:11" x14ac:dyDescent="0.3">
      <c r="B46">
        <v>290</v>
      </c>
      <c r="C46">
        <v>0</v>
      </c>
      <c r="D46">
        <v>0</v>
      </c>
      <c r="H46" s="1" t="s">
        <v>293</v>
      </c>
      <c r="K46" t="s">
        <v>294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90AB0-E4B4-4152-8D72-02AA8F4B8B5F}">
  <sheetPr codeName="Sheet13"/>
  <dimension ref="A1:K8"/>
  <sheetViews>
    <sheetView workbookViewId="0">
      <selection activeCell="G16" sqref="G16"/>
    </sheetView>
  </sheetViews>
  <sheetFormatPr defaultRowHeight="14.4" x14ac:dyDescent="0.3"/>
  <sheetData>
    <row r="1" spans="1:11" x14ac:dyDescent="0.3">
      <c r="A1" t="s">
        <v>6</v>
      </c>
      <c r="B1">
        <f>Frames!A2</f>
        <v>1</v>
      </c>
      <c r="C1">
        <f>Frames!A24</f>
        <v>23</v>
      </c>
      <c r="D1">
        <v>45</v>
      </c>
      <c r="E1" t="s">
        <v>306</v>
      </c>
      <c r="I1" t="s">
        <v>13</v>
      </c>
      <c r="K1" t="s">
        <v>305</v>
      </c>
    </row>
    <row r="2" spans="1:11" x14ac:dyDescent="0.3">
      <c r="A2" t="s">
        <v>299</v>
      </c>
      <c r="B2" t="b">
        <v>1</v>
      </c>
      <c r="C2" t="b">
        <v>0</v>
      </c>
      <c r="D2" t="b">
        <v>0</v>
      </c>
      <c r="E2" t="b">
        <v>1</v>
      </c>
      <c r="K2" s="17">
        <v>3</v>
      </c>
    </row>
    <row r="3" spans="1:11" x14ac:dyDescent="0.3">
      <c r="A3" t="s">
        <v>300</v>
      </c>
      <c r="B3" t="b">
        <v>0</v>
      </c>
      <c r="C3" t="b">
        <v>0</v>
      </c>
      <c r="D3" t="b">
        <v>0</v>
      </c>
      <c r="E3" t="b">
        <v>1</v>
      </c>
    </row>
    <row r="4" spans="1:11" x14ac:dyDescent="0.3">
      <c r="A4" t="s">
        <v>301</v>
      </c>
      <c r="B4" t="b">
        <v>1</v>
      </c>
      <c r="C4" t="b">
        <v>1</v>
      </c>
      <c r="D4" t="b">
        <v>1</v>
      </c>
      <c r="E4" t="b">
        <v>1</v>
      </c>
    </row>
    <row r="5" spans="1:11" x14ac:dyDescent="0.3">
      <c r="A5" t="s">
        <v>302</v>
      </c>
      <c r="B5" t="b">
        <v>0</v>
      </c>
      <c r="C5" t="b">
        <v>1</v>
      </c>
      <c r="D5" t="b">
        <v>0</v>
      </c>
      <c r="E5" t="b">
        <v>0</v>
      </c>
    </row>
    <row r="6" spans="1:11" x14ac:dyDescent="0.3">
      <c r="A6" t="s">
        <v>303</v>
      </c>
      <c r="B6" t="b">
        <v>0</v>
      </c>
      <c r="C6" t="b">
        <v>1</v>
      </c>
      <c r="D6" t="b">
        <v>0</v>
      </c>
      <c r="E6" t="b">
        <v>0</v>
      </c>
    </row>
    <row r="7" spans="1:11" x14ac:dyDescent="0.3">
      <c r="A7" t="s">
        <v>304</v>
      </c>
      <c r="B7" t="b">
        <v>0</v>
      </c>
      <c r="C7" t="b">
        <v>1</v>
      </c>
      <c r="D7" t="b">
        <v>0</v>
      </c>
      <c r="E7" t="b">
        <v>0</v>
      </c>
    </row>
    <row r="8" spans="1:11" x14ac:dyDescent="0.3">
      <c r="A8" t="s">
        <v>13</v>
      </c>
      <c r="B8" s="1" t="str">
        <f>IF(AND(B2=FALSE,B3=FALSE,B4=TRUE,B5=FALSE,B6=FALSE,B7=FALSE),"Z",IF(AND(B2=TRUE,B3=FALSE,B4=TRUE,B5=FALSE,B6=FALSE,B7=FALSE),"XZ",
IF(AND(B2=FALSE,B3=FALSE,B4=TRUE,B5=TRUE,B6=TRUE,B7=TRUE),"Z_r123","OUTRO")))</f>
        <v>XZ</v>
      </c>
      <c r="C8" s="1" t="str">
        <f>IF(AND(C2=FALSE,C3=FALSE,C4=TRUE,C5=FALSE,C6=FALSE,C7=FALSE),"Z",IF(AND(C2=TRUE,C3=FALSE,C4=TRUE,C5=FALSE,C6=FALSE,C7=FALSE),"XZ",
IF(AND(C2=FALSE,C3=FALSE,C4=TRUE,C5=TRUE,C6=TRUE,C7=TRUE),"Z_r123","OUTRO")))</f>
        <v>Z_r123</v>
      </c>
      <c r="D8" s="1" t="str">
        <f>IF(AND(D2=FALSE,D3=FALSE,D4=TRUE,D5=FALSE,D6=FALSE,D7=FALSE),"Z",IF(AND(D2=TRUE,D3=FALSE,D4=TRUE,D5=FALSE,D6=FALSE,D7=FALSE),"XZ",
IF(AND(D2=FALSE,D3=FALSE,D4=TRUE,D5=TRUE,D6=TRUE,D7=TRUE),"Z_r123","OUTRO")))</f>
        <v>Z</v>
      </c>
      <c r="E8" s="1" t="str">
        <f>IF(AND(E2=FALSE,E3=FALSE,E4=TRUE,E5=FALSE,E6=FALSE,E7=FALSE),"Z",IF(AND(E2=TRUE,E3=FALSE,E4=TRUE,E5=FALSE,E6=FALSE,E7=FALSE),"XZ",
IF(AND(E2=FALSE,E3=FALSE,E4=TRUE,E5=TRUE,E6=TRUE,E7=TRUE),"Z_r123",IF(AND(E2=TRUE,E3=TRUE,E4=TRUE,E5=FALSE,E6=FALSE,E7=FALSE),"XYZ","OUTRO"))))</f>
        <v>XYZ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8AA04-CBDB-4D0B-84DA-FDDD6E74C5FD}">
  <sheetPr codeName="Sheet12"/>
  <dimension ref="A1:J73"/>
  <sheetViews>
    <sheetView workbookViewId="0">
      <selection activeCell="C2" sqref="C2"/>
    </sheetView>
  </sheetViews>
  <sheetFormatPr defaultRowHeight="14.4" x14ac:dyDescent="0.3"/>
  <sheetData>
    <row r="1" spans="1:10" x14ac:dyDescent="0.3">
      <c r="A1" t="s">
        <v>97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I1" t="s">
        <v>13</v>
      </c>
    </row>
    <row r="2" spans="1:10" x14ac:dyDescent="0.3">
      <c r="A2">
        <v>1</v>
      </c>
      <c r="B2">
        <f>Stays!C2</f>
        <v>10.15</v>
      </c>
      <c r="C2">
        <v>0</v>
      </c>
      <c r="D2">
        <v>0</v>
      </c>
      <c r="E2">
        <f>Stays!C2</f>
        <v>10.15</v>
      </c>
      <c r="F2">
        <f>Stays!D2</f>
        <v>7.0750000000000002</v>
      </c>
      <c r="G2">
        <f>Stays!E2</f>
        <v>0</v>
      </c>
      <c r="I2" t="s">
        <v>298</v>
      </c>
      <c r="J2" t="str">
        <f>Stays!M2</f>
        <v>m2e-18</v>
      </c>
    </row>
    <row r="3" spans="1:10" x14ac:dyDescent="0.3">
      <c r="A3">
        <f>A2+1</f>
        <v>2</v>
      </c>
      <c r="B3">
        <f>Stays!C3</f>
        <v>10.15</v>
      </c>
      <c r="C3">
        <v>0</v>
      </c>
      <c r="D3">
        <v>0</v>
      </c>
      <c r="E3">
        <f>Stays!C3</f>
        <v>10.15</v>
      </c>
      <c r="F3">
        <f>Stays!D3</f>
        <v>-7.0750000000000002</v>
      </c>
      <c r="G3">
        <f>Stays!E3</f>
        <v>0</v>
      </c>
      <c r="J3" t="str">
        <f>Stays!M3</f>
        <v>m2i-18</v>
      </c>
    </row>
    <row r="4" spans="1:10" x14ac:dyDescent="0.3">
      <c r="A4">
        <f t="shared" ref="A4:A37" si="0">A3+1</f>
        <v>3</v>
      </c>
      <c r="B4">
        <f>Stays!C4</f>
        <v>17.149999999999999</v>
      </c>
      <c r="C4">
        <v>0</v>
      </c>
      <c r="D4">
        <v>0</v>
      </c>
      <c r="E4">
        <f>Stays!C4</f>
        <v>17.149999999999999</v>
      </c>
      <c r="F4">
        <f>Stays!D4</f>
        <v>7.0750000000000002</v>
      </c>
      <c r="G4">
        <f>Stays!E4</f>
        <v>0</v>
      </c>
      <c r="J4" t="str">
        <f>Stays!M4</f>
        <v>m2e-17</v>
      </c>
    </row>
    <row r="5" spans="1:10" x14ac:dyDescent="0.3">
      <c r="A5">
        <f t="shared" si="0"/>
        <v>4</v>
      </c>
      <c r="B5">
        <f>Stays!C5</f>
        <v>17.149999999999999</v>
      </c>
      <c r="C5">
        <v>0</v>
      </c>
      <c r="D5">
        <v>0</v>
      </c>
      <c r="E5">
        <f>Stays!C5</f>
        <v>17.149999999999999</v>
      </c>
      <c r="F5">
        <f>Stays!D5</f>
        <v>-7.0750000000000002</v>
      </c>
      <c r="G5">
        <f>Stays!E5</f>
        <v>0</v>
      </c>
      <c r="J5" t="str">
        <f>Stays!M5</f>
        <v>m2i-17</v>
      </c>
    </row>
    <row r="6" spans="1:10" x14ac:dyDescent="0.3">
      <c r="A6">
        <f t="shared" si="0"/>
        <v>5</v>
      </c>
      <c r="B6">
        <f>Stays!C6</f>
        <v>24.15</v>
      </c>
      <c r="C6">
        <v>0</v>
      </c>
      <c r="D6">
        <v>0</v>
      </c>
      <c r="E6">
        <f>Stays!C6</f>
        <v>24.15</v>
      </c>
      <c r="F6">
        <f>Stays!D6</f>
        <v>7.0750000000000002</v>
      </c>
      <c r="G6">
        <f>Stays!E6</f>
        <v>0</v>
      </c>
      <c r="J6" t="str">
        <f>Stays!M6</f>
        <v>m2e-16</v>
      </c>
    </row>
    <row r="7" spans="1:10" x14ac:dyDescent="0.3">
      <c r="A7">
        <f t="shared" si="0"/>
        <v>6</v>
      </c>
      <c r="B7">
        <f>Stays!C7</f>
        <v>24.15</v>
      </c>
      <c r="C7">
        <v>0</v>
      </c>
      <c r="D7">
        <v>0</v>
      </c>
      <c r="E7">
        <f>Stays!C7</f>
        <v>24.15</v>
      </c>
      <c r="F7">
        <f>Stays!D7</f>
        <v>-7.0750000000000002</v>
      </c>
      <c r="G7">
        <f>Stays!E7</f>
        <v>0</v>
      </c>
      <c r="J7" t="str">
        <f>Stays!M7</f>
        <v>m2i-16</v>
      </c>
    </row>
    <row r="8" spans="1:10" x14ac:dyDescent="0.3">
      <c r="A8">
        <f t="shared" si="0"/>
        <v>7</v>
      </c>
      <c r="B8">
        <f>Stays!C8</f>
        <v>31.15</v>
      </c>
      <c r="C8">
        <v>0</v>
      </c>
      <c r="D8">
        <v>0</v>
      </c>
      <c r="E8">
        <f>Stays!C8</f>
        <v>31.15</v>
      </c>
      <c r="F8">
        <f>Stays!D8</f>
        <v>7.0750000000000002</v>
      </c>
      <c r="G8">
        <f>Stays!E8</f>
        <v>0</v>
      </c>
      <c r="J8" t="str">
        <f>Stays!M8</f>
        <v>m2e-15</v>
      </c>
    </row>
    <row r="9" spans="1:10" x14ac:dyDescent="0.3">
      <c r="A9">
        <f t="shared" si="0"/>
        <v>8</v>
      </c>
      <c r="B9">
        <f>Stays!C9</f>
        <v>31.15</v>
      </c>
      <c r="C9">
        <v>0</v>
      </c>
      <c r="D9">
        <v>0</v>
      </c>
      <c r="E9">
        <f>Stays!C9</f>
        <v>31.15</v>
      </c>
      <c r="F9">
        <f>Stays!D9</f>
        <v>-7.0750000000000002</v>
      </c>
      <c r="G9">
        <f>Stays!E9</f>
        <v>0</v>
      </c>
      <c r="J9" t="str">
        <f>Stays!M9</f>
        <v>m2i-15</v>
      </c>
    </row>
    <row r="10" spans="1:10" x14ac:dyDescent="0.3">
      <c r="A10">
        <f t="shared" si="0"/>
        <v>9</v>
      </c>
      <c r="B10">
        <f>Stays!C10</f>
        <v>38.15</v>
      </c>
      <c r="C10">
        <v>0</v>
      </c>
      <c r="D10">
        <v>0</v>
      </c>
      <c r="E10">
        <f>Stays!C10</f>
        <v>38.15</v>
      </c>
      <c r="F10">
        <f>Stays!D10</f>
        <v>7.0750000000000002</v>
      </c>
      <c r="G10">
        <f>Stays!E10</f>
        <v>0</v>
      </c>
      <c r="J10" t="str">
        <f>Stays!M10</f>
        <v>m2e-14</v>
      </c>
    </row>
    <row r="11" spans="1:10" x14ac:dyDescent="0.3">
      <c r="A11">
        <f t="shared" si="0"/>
        <v>10</v>
      </c>
      <c r="B11">
        <f>Stays!C11</f>
        <v>38.15</v>
      </c>
      <c r="C11">
        <v>0</v>
      </c>
      <c r="D11">
        <v>0</v>
      </c>
      <c r="E11">
        <f>Stays!C11</f>
        <v>38.15</v>
      </c>
      <c r="F11">
        <f>Stays!D11</f>
        <v>-7.0750000000000002</v>
      </c>
      <c r="G11">
        <f>Stays!E11</f>
        <v>0</v>
      </c>
      <c r="J11" t="str">
        <f>Stays!M11</f>
        <v>m2i-14</v>
      </c>
    </row>
    <row r="12" spans="1:10" x14ac:dyDescent="0.3">
      <c r="A12">
        <f t="shared" si="0"/>
        <v>11</v>
      </c>
      <c r="B12">
        <f>Stays!C12</f>
        <v>45.15</v>
      </c>
      <c r="C12">
        <v>0</v>
      </c>
      <c r="D12">
        <v>0</v>
      </c>
      <c r="E12">
        <f>Stays!C12</f>
        <v>45.15</v>
      </c>
      <c r="F12">
        <f>Stays!D12</f>
        <v>7.0750000000000002</v>
      </c>
      <c r="G12">
        <f>Stays!E12</f>
        <v>0</v>
      </c>
      <c r="J12" t="str">
        <f>Stays!M12</f>
        <v>m2e-13</v>
      </c>
    </row>
    <row r="13" spans="1:10" x14ac:dyDescent="0.3">
      <c r="A13">
        <f t="shared" si="0"/>
        <v>12</v>
      </c>
      <c r="B13">
        <f>Stays!C13</f>
        <v>45.15</v>
      </c>
      <c r="C13">
        <v>0</v>
      </c>
      <c r="D13">
        <v>0</v>
      </c>
      <c r="E13">
        <f>Stays!C13</f>
        <v>45.15</v>
      </c>
      <c r="F13">
        <f>Stays!D13</f>
        <v>-7.0750000000000002</v>
      </c>
      <c r="G13">
        <f>Stays!E13</f>
        <v>0</v>
      </c>
      <c r="J13" t="str">
        <f>Stays!M13</f>
        <v>m2i-13</v>
      </c>
    </row>
    <row r="14" spans="1:10" x14ac:dyDescent="0.3">
      <c r="A14">
        <f t="shared" si="0"/>
        <v>13</v>
      </c>
      <c r="B14">
        <f>Stays!C14</f>
        <v>52.15</v>
      </c>
      <c r="C14">
        <v>0</v>
      </c>
      <c r="D14">
        <v>0</v>
      </c>
      <c r="E14">
        <f>Stays!C14</f>
        <v>52.15</v>
      </c>
      <c r="F14">
        <f>Stays!D14</f>
        <v>7.0750000000000002</v>
      </c>
      <c r="G14">
        <f>Stays!E14</f>
        <v>0</v>
      </c>
      <c r="J14" t="str">
        <f>Stays!M14</f>
        <v>m2e-12</v>
      </c>
    </row>
    <row r="15" spans="1:10" x14ac:dyDescent="0.3">
      <c r="A15">
        <f t="shared" si="0"/>
        <v>14</v>
      </c>
      <c r="B15">
        <f>Stays!C15</f>
        <v>52.15</v>
      </c>
      <c r="C15">
        <v>0</v>
      </c>
      <c r="D15">
        <v>0</v>
      </c>
      <c r="E15">
        <f>Stays!C15</f>
        <v>52.15</v>
      </c>
      <c r="F15">
        <f>Stays!D15</f>
        <v>-7.0750000000000002</v>
      </c>
      <c r="G15">
        <f>Stays!E15</f>
        <v>0</v>
      </c>
      <c r="J15" t="str">
        <f>Stays!M15</f>
        <v>m2i-12</v>
      </c>
    </row>
    <row r="16" spans="1:10" x14ac:dyDescent="0.3">
      <c r="A16">
        <f t="shared" si="0"/>
        <v>15</v>
      </c>
      <c r="B16">
        <f>Stays!C16</f>
        <v>59.15</v>
      </c>
      <c r="C16">
        <v>0</v>
      </c>
      <c r="D16">
        <v>0</v>
      </c>
      <c r="E16">
        <f>Stays!C16</f>
        <v>59.15</v>
      </c>
      <c r="F16">
        <f>Stays!D16</f>
        <v>7.0750000000000002</v>
      </c>
      <c r="G16">
        <f>Stays!E16</f>
        <v>0</v>
      </c>
      <c r="J16" t="str">
        <f>Stays!M16</f>
        <v>m2e-11</v>
      </c>
    </row>
    <row r="17" spans="1:10" x14ac:dyDescent="0.3">
      <c r="A17">
        <f t="shared" si="0"/>
        <v>16</v>
      </c>
      <c r="B17">
        <f>Stays!C17</f>
        <v>59.15</v>
      </c>
      <c r="C17">
        <v>0</v>
      </c>
      <c r="D17">
        <v>0</v>
      </c>
      <c r="E17">
        <f>Stays!C17</f>
        <v>59.15</v>
      </c>
      <c r="F17">
        <f>Stays!D17</f>
        <v>-7.0750000000000002</v>
      </c>
      <c r="G17">
        <f>Stays!E17</f>
        <v>0</v>
      </c>
      <c r="J17" t="str">
        <f>Stays!M17</f>
        <v>m2i-11</v>
      </c>
    </row>
    <row r="18" spans="1:10" x14ac:dyDescent="0.3">
      <c r="A18">
        <f t="shared" si="0"/>
        <v>17</v>
      </c>
      <c r="B18">
        <f>Stays!C18</f>
        <v>66.150000000000006</v>
      </c>
      <c r="C18">
        <v>0</v>
      </c>
      <c r="D18">
        <v>0</v>
      </c>
      <c r="E18">
        <f>Stays!C18</f>
        <v>66.150000000000006</v>
      </c>
      <c r="F18">
        <f>Stays!D18</f>
        <v>7.0750000000000002</v>
      </c>
      <c r="G18">
        <f>Stays!E18</f>
        <v>0</v>
      </c>
      <c r="J18" t="str">
        <f>Stays!M18</f>
        <v>m2e-10</v>
      </c>
    </row>
    <row r="19" spans="1:10" x14ac:dyDescent="0.3">
      <c r="A19">
        <f t="shared" si="0"/>
        <v>18</v>
      </c>
      <c r="B19">
        <f>Stays!C19</f>
        <v>66.150000000000006</v>
      </c>
      <c r="C19">
        <v>0</v>
      </c>
      <c r="D19">
        <v>0</v>
      </c>
      <c r="E19">
        <f>Stays!C19</f>
        <v>66.150000000000006</v>
      </c>
      <c r="F19">
        <f>Stays!D19</f>
        <v>-7.0750000000000002</v>
      </c>
      <c r="G19">
        <f>Stays!E19</f>
        <v>0</v>
      </c>
      <c r="J19" t="str">
        <f>Stays!M19</f>
        <v>m2i-10</v>
      </c>
    </row>
    <row r="20" spans="1:10" x14ac:dyDescent="0.3">
      <c r="A20">
        <f t="shared" si="0"/>
        <v>19</v>
      </c>
      <c r="B20">
        <f>Stays!C20</f>
        <v>73.150000000000006</v>
      </c>
      <c r="C20">
        <v>0</v>
      </c>
      <c r="D20">
        <v>0</v>
      </c>
      <c r="E20">
        <f>Stays!C20</f>
        <v>73.150000000000006</v>
      </c>
      <c r="F20">
        <f>Stays!D20</f>
        <v>7.0750000000000002</v>
      </c>
      <c r="G20">
        <f>Stays!E20</f>
        <v>0</v>
      </c>
      <c r="J20" t="str">
        <f>Stays!M20</f>
        <v>m2e-9</v>
      </c>
    </row>
    <row r="21" spans="1:10" x14ac:dyDescent="0.3">
      <c r="A21">
        <f t="shared" si="0"/>
        <v>20</v>
      </c>
      <c r="B21">
        <f>Stays!C21</f>
        <v>73.150000000000006</v>
      </c>
      <c r="C21">
        <v>0</v>
      </c>
      <c r="D21">
        <v>0</v>
      </c>
      <c r="E21">
        <f>Stays!C21</f>
        <v>73.150000000000006</v>
      </c>
      <c r="F21">
        <f>Stays!D21</f>
        <v>-7.0750000000000002</v>
      </c>
      <c r="G21">
        <f>Stays!E21</f>
        <v>0</v>
      </c>
      <c r="J21" t="str">
        <f>Stays!M21</f>
        <v>m2i-9</v>
      </c>
    </row>
    <row r="22" spans="1:10" x14ac:dyDescent="0.3">
      <c r="A22">
        <f t="shared" si="0"/>
        <v>21</v>
      </c>
      <c r="B22">
        <f>Stays!C22</f>
        <v>80.150000000000006</v>
      </c>
      <c r="C22">
        <v>0</v>
      </c>
      <c r="D22">
        <v>0</v>
      </c>
      <c r="E22">
        <f>Stays!C22</f>
        <v>80.150000000000006</v>
      </c>
      <c r="F22">
        <f>Stays!D22</f>
        <v>7.0750000000000002</v>
      </c>
      <c r="G22">
        <f>Stays!E22</f>
        <v>0</v>
      </c>
      <c r="J22" t="str">
        <f>Stays!M22</f>
        <v>m2e-8</v>
      </c>
    </row>
    <row r="23" spans="1:10" x14ac:dyDescent="0.3">
      <c r="A23">
        <f t="shared" si="0"/>
        <v>22</v>
      </c>
      <c r="B23">
        <f>Stays!C23</f>
        <v>80.150000000000006</v>
      </c>
      <c r="C23">
        <v>0</v>
      </c>
      <c r="D23">
        <v>0</v>
      </c>
      <c r="E23">
        <f>Stays!C23</f>
        <v>80.150000000000006</v>
      </c>
      <c r="F23">
        <f>Stays!D23</f>
        <v>-7.0750000000000002</v>
      </c>
      <c r="G23">
        <f>Stays!E23</f>
        <v>0</v>
      </c>
      <c r="J23" t="str">
        <f>Stays!M23</f>
        <v>m2i-8</v>
      </c>
    </row>
    <row r="24" spans="1:10" x14ac:dyDescent="0.3">
      <c r="A24">
        <f t="shared" si="0"/>
        <v>23</v>
      </c>
      <c r="B24">
        <f>Stays!C24</f>
        <v>87.15</v>
      </c>
      <c r="C24">
        <v>0</v>
      </c>
      <c r="D24">
        <v>0</v>
      </c>
      <c r="E24">
        <f>Stays!C24</f>
        <v>87.15</v>
      </c>
      <c r="F24">
        <f>Stays!D24</f>
        <v>7.0750000000000002</v>
      </c>
      <c r="G24">
        <f>Stays!E24</f>
        <v>0</v>
      </c>
      <c r="J24" t="str">
        <f>Stays!M24</f>
        <v>m2e-7</v>
      </c>
    </row>
    <row r="25" spans="1:10" x14ac:dyDescent="0.3">
      <c r="A25">
        <f t="shared" si="0"/>
        <v>24</v>
      </c>
      <c r="B25">
        <f>Stays!C25</f>
        <v>87.15</v>
      </c>
      <c r="C25">
        <v>0</v>
      </c>
      <c r="D25">
        <v>0</v>
      </c>
      <c r="E25">
        <f>Stays!C25</f>
        <v>87.15</v>
      </c>
      <c r="F25">
        <f>Stays!D25</f>
        <v>-7.0750000000000002</v>
      </c>
      <c r="G25">
        <f>Stays!E25</f>
        <v>0</v>
      </c>
      <c r="J25" t="str">
        <f>Stays!M25</f>
        <v>m2i-7</v>
      </c>
    </row>
    <row r="26" spans="1:10" x14ac:dyDescent="0.3">
      <c r="A26">
        <f t="shared" si="0"/>
        <v>25</v>
      </c>
      <c r="B26">
        <f>Stays!C26</f>
        <v>94.15</v>
      </c>
      <c r="C26">
        <v>0</v>
      </c>
      <c r="D26">
        <v>0</v>
      </c>
      <c r="E26">
        <f>Stays!C26</f>
        <v>94.15</v>
      </c>
      <c r="F26">
        <f>Stays!D26</f>
        <v>7.0750000000000002</v>
      </c>
      <c r="G26">
        <f>Stays!E26</f>
        <v>0</v>
      </c>
      <c r="J26" t="str">
        <f>Stays!M26</f>
        <v>m2e-6</v>
      </c>
    </row>
    <row r="27" spans="1:10" x14ac:dyDescent="0.3">
      <c r="A27">
        <f t="shared" si="0"/>
        <v>26</v>
      </c>
      <c r="B27">
        <f>Stays!C27</f>
        <v>94.15</v>
      </c>
      <c r="C27">
        <v>0</v>
      </c>
      <c r="D27">
        <v>0</v>
      </c>
      <c r="E27">
        <f>Stays!C27</f>
        <v>94.15</v>
      </c>
      <c r="F27">
        <f>Stays!D27</f>
        <v>-7.0750000000000002</v>
      </c>
      <c r="G27">
        <f>Stays!E27</f>
        <v>0</v>
      </c>
      <c r="J27" t="str">
        <f>Stays!M27</f>
        <v>m2i-6</v>
      </c>
    </row>
    <row r="28" spans="1:10" x14ac:dyDescent="0.3">
      <c r="A28">
        <f t="shared" si="0"/>
        <v>27</v>
      </c>
      <c r="B28">
        <f>Stays!C28</f>
        <v>101.15</v>
      </c>
      <c r="C28">
        <v>0</v>
      </c>
      <c r="D28">
        <v>0</v>
      </c>
      <c r="E28">
        <f>Stays!C28</f>
        <v>101.15</v>
      </c>
      <c r="F28">
        <f>Stays!D28</f>
        <v>7.0750000000000002</v>
      </c>
      <c r="G28">
        <f>Stays!E28</f>
        <v>0</v>
      </c>
      <c r="J28" t="str">
        <f>Stays!M28</f>
        <v>m2e-5</v>
      </c>
    </row>
    <row r="29" spans="1:10" x14ac:dyDescent="0.3">
      <c r="A29">
        <f t="shared" si="0"/>
        <v>28</v>
      </c>
      <c r="B29">
        <f>Stays!C29</f>
        <v>101.15</v>
      </c>
      <c r="C29">
        <v>0</v>
      </c>
      <c r="D29">
        <v>0</v>
      </c>
      <c r="E29">
        <f>Stays!C29</f>
        <v>101.15</v>
      </c>
      <c r="F29">
        <f>Stays!D29</f>
        <v>-7.0750000000000002</v>
      </c>
      <c r="G29">
        <f>Stays!E29</f>
        <v>0</v>
      </c>
      <c r="J29" t="str">
        <f>Stays!M29</f>
        <v>m2i-5</v>
      </c>
    </row>
    <row r="30" spans="1:10" x14ac:dyDescent="0.3">
      <c r="A30">
        <f t="shared" si="0"/>
        <v>29</v>
      </c>
      <c r="B30">
        <f>Stays!C30</f>
        <v>108.15</v>
      </c>
      <c r="C30">
        <v>0</v>
      </c>
      <c r="D30">
        <v>0</v>
      </c>
      <c r="E30">
        <f>Stays!C30</f>
        <v>108.15</v>
      </c>
      <c r="F30">
        <f>Stays!D30</f>
        <v>7.0750000000000002</v>
      </c>
      <c r="G30">
        <f>Stays!E30</f>
        <v>0</v>
      </c>
      <c r="J30" t="str">
        <f>Stays!M30</f>
        <v>m2e-4</v>
      </c>
    </row>
    <row r="31" spans="1:10" x14ac:dyDescent="0.3">
      <c r="A31">
        <f t="shared" si="0"/>
        <v>30</v>
      </c>
      <c r="B31">
        <f>Stays!C31</f>
        <v>108.15</v>
      </c>
      <c r="C31">
        <v>0</v>
      </c>
      <c r="D31">
        <v>0</v>
      </c>
      <c r="E31">
        <f>Stays!C31</f>
        <v>108.15</v>
      </c>
      <c r="F31">
        <f>Stays!D31</f>
        <v>-7.0750000000000002</v>
      </c>
      <c r="G31">
        <f>Stays!E31</f>
        <v>0</v>
      </c>
      <c r="J31" t="str">
        <f>Stays!M31</f>
        <v>m2i-4</v>
      </c>
    </row>
    <row r="32" spans="1:10" x14ac:dyDescent="0.3">
      <c r="A32">
        <f t="shared" si="0"/>
        <v>31</v>
      </c>
      <c r="B32">
        <f>Stays!C32</f>
        <v>115.15</v>
      </c>
      <c r="C32">
        <v>0</v>
      </c>
      <c r="D32">
        <v>0</v>
      </c>
      <c r="E32">
        <f>Stays!C32</f>
        <v>115.15</v>
      </c>
      <c r="F32">
        <f>Stays!D32</f>
        <v>7.0750000000000002</v>
      </c>
      <c r="G32">
        <f>Stays!E32</f>
        <v>0</v>
      </c>
      <c r="J32" t="str">
        <f>Stays!M32</f>
        <v>m2e-3</v>
      </c>
    </row>
    <row r="33" spans="1:10" x14ac:dyDescent="0.3">
      <c r="A33">
        <f t="shared" si="0"/>
        <v>32</v>
      </c>
      <c r="B33">
        <f>Stays!C33</f>
        <v>115.15</v>
      </c>
      <c r="C33">
        <v>0</v>
      </c>
      <c r="D33">
        <v>0</v>
      </c>
      <c r="E33">
        <f>Stays!C33</f>
        <v>115.15</v>
      </c>
      <c r="F33">
        <f>Stays!D33</f>
        <v>-7.0750000000000002</v>
      </c>
      <c r="G33">
        <f>Stays!E33</f>
        <v>0</v>
      </c>
      <c r="J33" t="str">
        <f>Stays!M33</f>
        <v>m2i-3</v>
      </c>
    </row>
    <row r="34" spans="1:10" x14ac:dyDescent="0.3">
      <c r="A34">
        <f t="shared" si="0"/>
        <v>33</v>
      </c>
      <c r="B34">
        <f>Stays!C34</f>
        <v>122.15</v>
      </c>
      <c r="C34">
        <v>0</v>
      </c>
      <c r="D34">
        <v>0</v>
      </c>
      <c r="E34">
        <f>Stays!C34</f>
        <v>122.15</v>
      </c>
      <c r="F34">
        <f>Stays!D34</f>
        <v>7.0750000000000002</v>
      </c>
      <c r="G34">
        <f>Stays!E34</f>
        <v>0</v>
      </c>
      <c r="J34" t="str">
        <f>Stays!M34</f>
        <v>m2e-2</v>
      </c>
    </row>
    <row r="35" spans="1:10" x14ac:dyDescent="0.3">
      <c r="A35">
        <f t="shared" si="0"/>
        <v>34</v>
      </c>
      <c r="B35">
        <f>Stays!C35</f>
        <v>122.15</v>
      </c>
      <c r="C35">
        <v>0</v>
      </c>
      <c r="D35">
        <v>0</v>
      </c>
      <c r="E35">
        <f>Stays!C35</f>
        <v>122.15</v>
      </c>
      <c r="F35">
        <f>Stays!D35</f>
        <v>-7.0750000000000002</v>
      </c>
      <c r="G35">
        <f>Stays!E35</f>
        <v>0</v>
      </c>
      <c r="J35" t="str">
        <f>Stays!M35</f>
        <v>m2i-2</v>
      </c>
    </row>
    <row r="36" spans="1:10" x14ac:dyDescent="0.3">
      <c r="A36">
        <f t="shared" si="0"/>
        <v>35</v>
      </c>
      <c r="B36">
        <f>Stays!C36</f>
        <v>129.15</v>
      </c>
      <c r="C36">
        <v>0</v>
      </c>
      <c r="D36">
        <v>0</v>
      </c>
      <c r="E36">
        <f>Stays!C36</f>
        <v>129.15</v>
      </c>
      <c r="F36">
        <f>Stays!D36</f>
        <v>7.0750000000000002</v>
      </c>
      <c r="G36">
        <f>Stays!E36</f>
        <v>0</v>
      </c>
      <c r="J36" t="str">
        <f>Stays!M36</f>
        <v>m2e-1</v>
      </c>
    </row>
    <row r="37" spans="1:10" x14ac:dyDescent="0.3">
      <c r="A37">
        <f t="shared" si="0"/>
        <v>36</v>
      </c>
      <c r="B37">
        <f>Stays!C37</f>
        <v>129.15</v>
      </c>
      <c r="C37">
        <v>0</v>
      </c>
      <c r="D37">
        <v>0</v>
      </c>
      <c r="E37">
        <f>Stays!C37</f>
        <v>129.15</v>
      </c>
      <c r="F37">
        <f>Stays!D37</f>
        <v>-7.0750000000000002</v>
      </c>
      <c r="G37">
        <f>Stays!E37</f>
        <v>0</v>
      </c>
      <c r="J37" t="str">
        <f>Stays!M37</f>
        <v>m2i-1</v>
      </c>
    </row>
    <row r="38" spans="1:10" x14ac:dyDescent="0.3">
      <c r="B38">
        <f>Stays!C38</f>
        <v>169.35</v>
      </c>
      <c r="C38">
        <v>0</v>
      </c>
      <c r="D38">
        <v>0</v>
      </c>
      <c r="E38">
        <f>Stays!C38</f>
        <v>169.35</v>
      </c>
      <c r="F38">
        <f>Stays!D38</f>
        <v>7.0750000000000002</v>
      </c>
      <c r="G38">
        <f>Stays!E38</f>
        <v>0</v>
      </c>
      <c r="J38" t="str">
        <f>Stays!M38</f>
        <v>r2e-1</v>
      </c>
    </row>
    <row r="39" spans="1:10" x14ac:dyDescent="0.3">
      <c r="B39">
        <f>Stays!C39</f>
        <v>169.35</v>
      </c>
      <c r="C39">
        <v>0</v>
      </c>
      <c r="D39">
        <v>0</v>
      </c>
      <c r="E39">
        <f>Stays!C39</f>
        <v>169.35</v>
      </c>
      <c r="F39">
        <f>Stays!D39</f>
        <v>-7.0750000000000002</v>
      </c>
      <c r="G39">
        <f>Stays!E39</f>
        <v>0</v>
      </c>
      <c r="J39" t="str">
        <f>Stays!M39</f>
        <v>r2i-1</v>
      </c>
    </row>
    <row r="40" spans="1:10" x14ac:dyDescent="0.3">
      <c r="B40">
        <f>Stays!C40</f>
        <v>175.85</v>
      </c>
      <c r="C40">
        <v>0</v>
      </c>
      <c r="D40">
        <v>0</v>
      </c>
      <c r="E40">
        <f>Stays!C40</f>
        <v>175.85</v>
      </c>
      <c r="F40">
        <f>Stays!D40</f>
        <v>7.0750000000000002</v>
      </c>
      <c r="G40">
        <f>Stays!E40</f>
        <v>0</v>
      </c>
      <c r="J40" t="str">
        <f>Stays!M40</f>
        <v>r2e-2</v>
      </c>
    </row>
    <row r="41" spans="1:10" x14ac:dyDescent="0.3">
      <c r="B41">
        <f>Stays!C41</f>
        <v>175.85</v>
      </c>
      <c r="C41">
        <v>0</v>
      </c>
      <c r="D41">
        <v>0</v>
      </c>
      <c r="E41">
        <f>Stays!C41</f>
        <v>175.85</v>
      </c>
      <c r="F41">
        <f>Stays!D41</f>
        <v>-7.0750000000000002</v>
      </c>
      <c r="G41">
        <f>Stays!E41</f>
        <v>0</v>
      </c>
      <c r="J41" t="str">
        <f>Stays!M41</f>
        <v>r2i-2</v>
      </c>
    </row>
    <row r="42" spans="1:10" x14ac:dyDescent="0.3">
      <c r="B42">
        <f>Stays!C42</f>
        <v>182.35</v>
      </c>
      <c r="C42">
        <v>0</v>
      </c>
      <c r="D42">
        <v>0</v>
      </c>
      <c r="E42">
        <f>Stays!C42</f>
        <v>182.35</v>
      </c>
      <c r="F42">
        <f>Stays!D42</f>
        <v>7.0750000000000002</v>
      </c>
      <c r="G42">
        <f>Stays!E42</f>
        <v>0</v>
      </c>
      <c r="J42" t="str">
        <f>Stays!M42</f>
        <v>r2e-3</v>
      </c>
    </row>
    <row r="43" spans="1:10" x14ac:dyDescent="0.3">
      <c r="B43">
        <f>Stays!C43</f>
        <v>182.35</v>
      </c>
      <c r="C43">
        <v>0</v>
      </c>
      <c r="D43">
        <v>0</v>
      </c>
      <c r="E43">
        <f>Stays!C43</f>
        <v>182.35</v>
      </c>
      <c r="F43">
        <f>Stays!D43</f>
        <v>-7.0750000000000002</v>
      </c>
      <c r="G43">
        <f>Stays!E43</f>
        <v>0</v>
      </c>
      <c r="J43" t="str">
        <f>Stays!M43</f>
        <v>r2i-3</v>
      </c>
    </row>
    <row r="44" spans="1:10" x14ac:dyDescent="0.3">
      <c r="B44">
        <f>Stays!C44</f>
        <v>188.85</v>
      </c>
      <c r="C44">
        <v>0</v>
      </c>
      <c r="D44">
        <v>0</v>
      </c>
      <c r="E44">
        <f>Stays!C44</f>
        <v>188.85</v>
      </c>
      <c r="F44">
        <f>Stays!D44</f>
        <v>7.0750000000000002</v>
      </c>
      <c r="G44">
        <f>Stays!E44</f>
        <v>0</v>
      </c>
      <c r="J44" t="str">
        <f>Stays!M44</f>
        <v>r2e-4</v>
      </c>
    </row>
    <row r="45" spans="1:10" x14ac:dyDescent="0.3">
      <c r="B45">
        <f>Stays!C45</f>
        <v>188.85</v>
      </c>
      <c r="C45">
        <v>0</v>
      </c>
      <c r="D45">
        <v>0</v>
      </c>
      <c r="E45">
        <f>Stays!C45</f>
        <v>188.85</v>
      </c>
      <c r="F45">
        <f>Stays!D45</f>
        <v>-7.0750000000000002</v>
      </c>
      <c r="G45">
        <f>Stays!E45</f>
        <v>0</v>
      </c>
      <c r="J45" t="str">
        <f>Stays!M45</f>
        <v>r2i-4</v>
      </c>
    </row>
    <row r="46" spans="1:10" x14ac:dyDescent="0.3">
      <c r="B46">
        <f>Stays!C46</f>
        <v>195.35</v>
      </c>
      <c r="C46">
        <v>0</v>
      </c>
      <c r="D46">
        <v>0</v>
      </c>
      <c r="E46">
        <f>Stays!C46</f>
        <v>195.35</v>
      </c>
      <c r="F46">
        <f>Stays!D46</f>
        <v>7.0750000000000002</v>
      </c>
      <c r="G46">
        <f>Stays!E46</f>
        <v>0</v>
      </c>
      <c r="J46" t="str">
        <f>Stays!M46</f>
        <v>r2e-5</v>
      </c>
    </row>
    <row r="47" spans="1:10" x14ac:dyDescent="0.3">
      <c r="B47">
        <f>Stays!C47</f>
        <v>195.35</v>
      </c>
      <c r="C47">
        <v>0</v>
      </c>
      <c r="D47">
        <v>0</v>
      </c>
      <c r="E47">
        <f>Stays!C47</f>
        <v>195.35</v>
      </c>
      <c r="F47">
        <f>Stays!D47</f>
        <v>-7.0750000000000002</v>
      </c>
      <c r="G47">
        <f>Stays!E47</f>
        <v>0</v>
      </c>
      <c r="J47" t="str">
        <f>Stays!M47</f>
        <v>r2i-5</v>
      </c>
    </row>
    <row r="48" spans="1:10" x14ac:dyDescent="0.3">
      <c r="B48">
        <f>Stays!C48</f>
        <v>201.85</v>
      </c>
      <c r="C48">
        <v>0</v>
      </c>
      <c r="D48">
        <v>0</v>
      </c>
      <c r="E48">
        <f>Stays!C48</f>
        <v>201.85</v>
      </c>
      <c r="F48">
        <f>Stays!D48</f>
        <v>7.0750000000000002</v>
      </c>
      <c r="G48">
        <f>Stays!E48</f>
        <v>0</v>
      </c>
      <c r="J48" t="str">
        <f>Stays!M48</f>
        <v>r2e-6</v>
      </c>
    </row>
    <row r="49" spans="2:10" x14ac:dyDescent="0.3">
      <c r="B49">
        <f>Stays!C49</f>
        <v>201.85</v>
      </c>
      <c r="C49">
        <v>0</v>
      </c>
      <c r="D49">
        <v>0</v>
      </c>
      <c r="E49">
        <f>Stays!C49</f>
        <v>201.85</v>
      </c>
      <c r="F49">
        <f>Stays!D49</f>
        <v>-7.0750000000000002</v>
      </c>
      <c r="G49">
        <f>Stays!E49</f>
        <v>0</v>
      </c>
      <c r="J49" t="str">
        <f>Stays!M49</f>
        <v>r2i-6</v>
      </c>
    </row>
    <row r="50" spans="2:10" x14ac:dyDescent="0.3">
      <c r="B50">
        <f>Stays!C50</f>
        <v>208.35</v>
      </c>
      <c r="C50">
        <v>0</v>
      </c>
      <c r="D50">
        <v>0</v>
      </c>
      <c r="E50">
        <f>Stays!C50</f>
        <v>208.35</v>
      </c>
      <c r="F50">
        <f>Stays!D50</f>
        <v>7.0750000000000002</v>
      </c>
      <c r="G50">
        <f>Stays!E50</f>
        <v>0</v>
      </c>
      <c r="J50" t="str">
        <f>Stays!M50</f>
        <v>r2e-7</v>
      </c>
    </row>
    <row r="51" spans="2:10" x14ac:dyDescent="0.3">
      <c r="B51">
        <f>Stays!C51</f>
        <v>208.35</v>
      </c>
      <c r="C51">
        <v>0</v>
      </c>
      <c r="D51">
        <v>0</v>
      </c>
      <c r="E51">
        <f>Stays!C51</f>
        <v>208.35</v>
      </c>
      <c r="F51">
        <f>Stays!D51</f>
        <v>-7.0750000000000002</v>
      </c>
      <c r="G51">
        <f>Stays!E51</f>
        <v>0</v>
      </c>
      <c r="J51" t="str">
        <f>Stays!M51</f>
        <v>r2i-7</v>
      </c>
    </row>
    <row r="52" spans="2:10" x14ac:dyDescent="0.3">
      <c r="B52">
        <f>Stays!C52</f>
        <v>214.85</v>
      </c>
      <c r="C52">
        <v>0</v>
      </c>
      <c r="D52">
        <v>0</v>
      </c>
      <c r="E52">
        <f>Stays!C52</f>
        <v>214.85</v>
      </c>
      <c r="F52">
        <f>Stays!D52</f>
        <v>7.0750000000000002</v>
      </c>
      <c r="G52">
        <f>Stays!E52</f>
        <v>0</v>
      </c>
      <c r="J52" t="str">
        <f>Stays!M52</f>
        <v>r2e-8</v>
      </c>
    </row>
    <row r="53" spans="2:10" x14ac:dyDescent="0.3">
      <c r="B53">
        <f>Stays!C53</f>
        <v>214.85</v>
      </c>
      <c r="C53">
        <v>0</v>
      </c>
      <c r="D53">
        <v>0</v>
      </c>
      <c r="E53">
        <f>Stays!C53</f>
        <v>214.85</v>
      </c>
      <c r="F53">
        <f>Stays!D53</f>
        <v>-7.0750000000000002</v>
      </c>
      <c r="G53">
        <f>Stays!E53</f>
        <v>0</v>
      </c>
      <c r="J53" t="str">
        <f>Stays!M53</f>
        <v>r2i-8</v>
      </c>
    </row>
    <row r="54" spans="2:10" x14ac:dyDescent="0.3">
      <c r="B54">
        <f>Stays!C54</f>
        <v>221.35</v>
      </c>
      <c r="C54">
        <v>0</v>
      </c>
      <c r="D54">
        <v>0</v>
      </c>
      <c r="E54">
        <f>Stays!C54</f>
        <v>221.35</v>
      </c>
      <c r="F54">
        <f>Stays!D54</f>
        <v>7.0750000000000002</v>
      </c>
      <c r="G54">
        <f>Stays!E54</f>
        <v>0</v>
      </c>
      <c r="J54" t="str">
        <f>Stays!M54</f>
        <v>r2e-9</v>
      </c>
    </row>
    <row r="55" spans="2:10" x14ac:dyDescent="0.3">
      <c r="B55">
        <f>Stays!C55</f>
        <v>221.35</v>
      </c>
      <c r="C55">
        <v>0</v>
      </c>
      <c r="D55">
        <v>0</v>
      </c>
      <c r="E55">
        <f>Stays!C55</f>
        <v>221.35</v>
      </c>
      <c r="F55">
        <f>Stays!D55</f>
        <v>-7.0750000000000002</v>
      </c>
      <c r="G55">
        <f>Stays!E55</f>
        <v>0</v>
      </c>
      <c r="J55" t="str">
        <f>Stays!M55</f>
        <v>r2i-9</v>
      </c>
    </row>
    <row r="56" spans="2:10" x14ac:dyDescent="0.3">
      <c r="B56">
        <f>Stays!C56</f>
        <v>227.85</v>
      </c>
      <c r="C56">
        <v>0</v>
      </c>
      <c r="D56">
        <v>0</v>
      </c>
      <c r="E56">
        <f>Stays!C56</f>
        <v>227.85</v>
      </c>
      <c r="F56">
        <f>Stays!D56</f>
        <v>7.0750000000000002</v>
      </c>
      <c r="G56">
        <f>Stays!E56</f>
        <v>0</v>
      </c>
      <c r="J56" t="str">
        <f>Stays!M56</f>
        <v>r2e-10</v>
      </c>
    </row>
    <row r="57" spans="2:10" x14ac:dyDescent="0.3">
      <c r="B57">
        <f>Stays!C57</f>
        <v>227.85</v>
      </c>
      <c r="C57">
        <v>0</v>
      </c>
      <c r="D57">
        <v>0</v>
      </c>
      <c r="E57">
        <f>Stays!C57</f>
        <v>227.85</v>
      </c>
      <c r="F57">
        <f>Stays!D57</f>
        <v>-7.0750000000000002</v>
      </c>
      <c r="G57">
        <f>Stays!E57</f>
        <v>0</v>
      </c>
      <c r="J57" t="str">
        <f>Stays!M57</f>
        <v>r2i-10</v>
      </c>
    </row>
    <row r="58" spans="2:10" x14ac:dyDescent="0.3">
      <c r="B58">
        <f>Stays!C58</f>
        <v>234.35</v>
      </c>
      <c r="C58">
        <v>0</v>
      </c>
      <c r="D58">
        <v>0</v>
      </c>
      <c r="E58">
        <f>Stays!C58</f>
        <v>234.35</v>
      </c>
      <c r="F58">
        <f>Stays!D58</f>
        <v>7.0750000000000002</v>
      </c>
      <c r="G58">
        <f>Stays!E58</f>
        <v>0</v>
      </c>
      <c r="J58" t="str">
        <f>Stays!M58</f>
        <v>r2e-11</v>
      </c>
    </row>
    <row r="59" spans="2:10" x14ac:dyDescent="0.3">
      <c r="B59">
        <f>Stays!C59</f>
        <v>234.35</v>
      </c>
      <c r="C59">
        <v>0</v>
      </c>
      <c r="D59">
        <v>0</v>
      </c>
      <c r="E59">
        <f>Stays!C59</f>
        <v>234.35</v>
      </c>
      <c r="F59">
        <f>Stays!D59</f>
        <v>-7.0750000000000002</v>
      </c>
      <c r="G59">
        <f>Stays!E59</f>
        <v>0</v>
      </c>
      <c r="J59" t="str">
        <f>Stays!M59</f>
        <v>r2i-11</v>
      </c>
    </row>
    <row r="60" spans="2:10" x14ac:dyDescent="0.3">
      <c r="B60">
        <f>Stays!C60</f>
        <v>240.85</v>
      </c>
      <c r="C60">
        <v>0</v>
      </c>
      <c r="D60">
        <v>0</v>
      </c>
      <c r="E60">
        <f>Stays!C60</f>
        <v>240.85</v>
      </c>
      <c r="F60">
        <f>Stays!D60</f>
        <v>7.0750000000000002</v>
      </c>
      <c r="G60">
        <f>Stays!E60</f>
        <v>0</v>
      </c>
      <c r="J60" t="str">
        <f>Stays!M60</f>
        <v>r2e-12</v>
      </c>
    </row>
    <row r="61" spans="2:10" x14ac:dyDescent="0.3">
      <c r="B61">
        <f>Stays!C61</f>
        <v>240.85</v>
      </c>
      <c r="C61">
        <v>0</v>
      </c>
      <c r="D61">
        <v>0</v>
      </c>
      <c r="E61">
        <f>Stays!C61</f>
        <v>240.85</v>
      </c>
      <c r="F61">
        <f>Stays!D61</f>
        <v>-7.0750000000000002</v>
      </c>
      <c r="G61">
        <f>Stays!E61</f>
        <v>0</v>
      </c>
      <c r="J61" t="str">
        <f>Stays!M61</f>
        <v>r2i-12</v>
      </c>
    </row>
    <row r="62" spans="2:10" x14ac:dyDescent="0.3">
      <c r="B62">
        <f>Stays!C62</f>
        <v>247.35</v>
      </c>
      <c r="C62">
        <v>0</v>
      </c>
      <c r="D62">
        <v>0</v>
      </c>
      <c r="E62">
        <f>Stays!C62</f>
        <v>247.35</v>
      </c>
      <c r="F62">
        <f>Stays!D62</f>
        <v>7.0750000000000002</v>
      </c>
      <c r="G62">
        <f>Stays!E62</f>
        <v>0</v>
      </c>
      <c r="J62" t="str">
        <f>Stays!M62</f>
        <v>r2e-13</v>
      </c>
    </row>
    <row r="63" spans="2:10" x14ac:dyDescent="0.3">
      <c r="B63">
        <f>Stays!C63</f>
        <v>247.35</v>
      </c>
      <c r="C63">
        <v>0</v>
      </c>
      <c r="D63">
        <v>0</v>
      </c>
      <c r="E63">
        <f>Stays!C63</f>
        <v>247.35</v>
      </c>
      <c r="F63">
        <f>Stays!D63</f>
        <v>-7.0750000000000002</v>
      </c>
      <c r="G63">
        <f>Stays!E63</f>
        <v>0</v>
      </c>
      <c r="J63" t="str">
        <f>Stays!M63</f>
        <v>r2i-13</v>
      </c>
    </row>
    <row r="64" spans="2:10" x14ac:dyDescent="0.3">
      <c r="B64">
        <f>Stays!C64</f>
        <v>253.85</v>
      </c>
      <c r="C64">
        <v>0</v>
      </c>
      <c r="D64">
        <v>0</v>
      </c>
      <c r="E64">
        <f>Stays!C64</f>
        <v>253.85</v>
      </c>
      <c r="F64">
        <f>Stays!D64</f>
        <v>7.0750000000000002</v>
      </c>
      <c r="G64">
        <f>Stays!E64</f>
        <v>0</v>
      </c>
      <c r="J64" t="str">
        <f>Stays!M64</f>
        <v>r2e-14</v>
      </c>
    </row>
    <row r="65" spans="2:10" x14ac:dyDescent="0.3">
      <c r="B65">
        <f>Stays!C65</f>
        <v>253.85</v>
      </c>
      <c r="C65">
        <v>0</v>
      </c>
      <c r="D65">
        <v>0</v>
      </c>
      <c r="E65">
        <f>Stays!C65</f>
        <v>253.85</v>
      </c>
      <c r="F65">
        <f>Stays!D65</f>
        <v>-7.0750000000000002</v>
      </c>
      <c r="G65">
        <f>Stays!E65</f>
        <v>0</v>
      </c>
      <c r="J65" t="str">
        <f>Stays!M65</f>
        <v>r2i-14</v>
      </c>
    </row>
    <row r="66" spans="2:10" x14ac:dyDescent="0.3">
      <c r="B66">
        <f>Stays!C66</f>
        <v>260.35000000000002</v>
      </c>
      <c r="C66">
        <v>0</v>
      </c>
      <c r="D66">
        <v>0</v>
      </c>
      <c r="E66">
        <f>Stays!C66</f>
        <v>260.35000000000002</v>
      </c>
      <c r="F66">
        <f>Stays!D66</f>
        <v>7.0750000000000002</v>
      </c>
      <c r="G66">
        <f>Stays!E66</f>
        <v>0</v>
      </c>
      <c r="J66" t="str">
        <f>Stays!M66</f>
        <v>r2e-15</v>
      </c>
    </row>
    <row r="67" spans="2:10" x14ac:dyDescent="0.3">
      <c r="B67">
        <f>Stays!C67</f>
        <v>260.35000000000002</v>
      </c>
      <c r="C67">
        <v>0</v>
      </c>
      <c r="D67">
        <v>0</v>
      </c>
      <c r="E67">
        <f>Stays!C67</f>
        <v>260.35000000000002</v>
      </c>
      <c r="F67">
        <f>Stays!D67</f>
        <v>-7.0750000000000002</v>
      </c>
      <c r="G67">
        <f>Stays!E67</f>
        <v>0</v>
      </c>
      <c r="J67" t="str">
        <f>Stays!M67</f>
        <v>r2i-15</v>
      </c>
    </row>
    <row r="68" spans="2:10" x14ac:dyDescent="0.3">
      <c r="B68">
        <f>Stays!C68</f>
        <v>266.85000000000002</v>
      </c>
      <c r="C68">
        <v>0</v>
      </c>
      <c r="D68">
        <v>0</v>
      </c>
      <c r="E68">
        <f>Stays!C68</f>
        <v>266.85000000000002</v>
      </c>
      <c r="F68">
        <f>Stays!D68</f>
        <v>7.0750000000000002</v>
      </c>
      <c r="G68">
        <f>Stays!E68</f>
        <v>0</v>
      </c>
      <c r="J68" t="str">
        <f>Stays!M68</f>
        <v>r2e-16</v>
      </c>
    </row>
    <row r="69" spans="2:10" x14ac:dyDescent="0.3">
      <c r="B69">
        <f>Stays!C69</f>
        <v>266.85000000000002</v>
      </c>
      <c r="C69">
        <v>0</v>
      </c>
      <c r="D69">
        <v>0</v>
      </c>
      <c r="E69">
        <f>Stays!C69</f>
        <v>266.85000000000002</v>
      </c>
      <c r="F69">
        <f>Stays!D69</f>
        <v>-7.0750000000000002</v>
      </c>
      <c r="G69">
        <f>Stays!E69</f>
        <v>0</v>
      </c>
      <c r="J69" t="str">
        <f>Stays!M69</f>
        <v>r2i-16</v>
      </c>
    </row>
    <row r="70" spans="2:10" x14ac:dyDescent="0.3">
      <c r="B70">
        <f>Stays!C70</f>
        <v>273.35000000000002</v>
      </c>
      <c r="C70">
        <v>0</v>
      </c>
      <c r="D70">
        <v>0</v>
      </c>
      <c r="E70">
        <f>Stays!C70</f>
        <v>273.35000000000002</v>
      </c>
      <c r="F70">
        <f>Stays!D70</f>
        <v>7.0750000000000002</v>
      </c>
      <c r="G70">
        <f>Stays!E70</f>
        <v>0</v>
      </c>
      <c r="J70" t="str">
        <f>Stays!M70</f>
        <v>r2e-17</v>
      </c>
    </row>
    <row r="71" spans="2:10" x14ac:dyDescent="0.3">
      <c r="B71">
        <f>Stays!C71</f>
        <v>273.35000000000002</v>
      </c>
      <c r="C71">
        <v>0</v>
      </c>
      <c r="D71">
        <v>0</v>
      </c>
      <c r="E71">
        <f>Stays!C71</f>
        <v>273.35000000000002</v>
      </c>
      <c r="F71">
        <f>Stays!D71</f>
        <v>-7.0750000000000002</v>
      </c>
      <c r="G71">
        <f>Stays!E71</f>
        <v>0</v>
      </c>
      <c r="J71" t="str">
        <f>Stays!M71</f>
        <v>r2i-17</v>
      </c>
    </row>
    <row r="72" spans="2:10" x14ac:dyDescent="0.3">
      <c r="B72">
        <f>Stays!C72</f>
        <v>279.85000000000002</v>
      </c>
      <c r="C72">
        <v>0</v>
      </c>
      <c r="D72">
        <v>0</v>
      </c>
      <c r="E72">
        <f>Stays!C72</f>
        <v>279.85000000000002</v>
      </c>
      <c r="F72">
        <f>Stays!D72</f>
        <v>7.0750000000000002</v>
      </c>
      <c r="G72">
        <f>Stays!E72</f>
        <v>0</v>
      </c>
      <c r="J72" t="str">
        <f>Stays!M72</f>
        <v>r2e-18</v>
      </c>
    </row>
    <row r="73" spans="2:10" x14ac:dyDescent="0.3">
      <c r="B73">
        <f>Stays!C73</f>
        <v>279.85000000000002</v>
      </c>
      <c r="C73">
        <v>0</v>
      </c>
      <c r="D73">
        <v>0</v>
      </c>
      <c r="E73">
        <f>Stays!C73</f>
        <v>279.85000000000002</v>
      </c>
      <c r="F73">
        <f>Stays!D73</f>
        <v>-7.0750000000000002</v>
      </c>
      <c r="G73">
        <f>Stays!E73</f>
        <v>0</v>
      </c>
      <c r="J73" t="str">
        <f>Stays!M73</f>
        <v>r2i-18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A074F-D353-4E7A-963C-189B9480C84E}">
  <sheetPr codeName="Sheet9"/>
  <dimension ref="A1:K60"/>
  <sheetViews>
    <sheetView topLeftCell="B1" workbookViewId="0">
      <selection activeCell="M57" sqref="M57"/>
    </sheetView>
  </sheetViews>
  <sheetFormatPr defaultRowHeight="14.4" x14ac:dyDescent="0.3"/>
  <cols>
    <col min="5" max="5" width="15.33203125" customWidth="1"/>
    <col min="6" max="6" width="21.77734375" customWidth="1"/>
    <col min="7" max="7" width="23.6640625" customWidth="1"/>
  </cols>
  <sheetData>
    <row r="1" spans="1:10" x14ac:dyDescent="0.3">
      <c r="A1" s="3" t="s">
        <v>127</v>
      </c>
      <c r="B1" s="3"/>
      <c r="C1" s="3"/>
      <c r="D1" s="3"/>
    </row>
    <row r="2" spans="1:10" x14ac:dyDescent="0.3">
      <c r="A2" t="s">
        <v>128</v>
      </c>
    </row>
    <row r="4" spans="1:10" x14ac:dyDescent="0.3">
      <c r="A4" s="3" t="s">
        <v>129</v>
      </c>
      <c r="B4" s="3"/>
      <c r="C4" s="3"/>
      <c r="D4" s="3"/>
      <c r="E4" s="3"/>
      <c r="F4" s="3"/>
      <c r="G4" s="3"/>
      <c r="H4" s="3"/>
      <c r="I4" s="3"/>
      <c r="J4" s="3"/>
    </row>
    <row r="5" spans="1:10" x14ac:dyDescent="0.3">
      <c r="A5" t="s">
        <v>130</v>
      </c>
      <c r="C5">
        <v>0.1</v>
      </c>
      <c r="D5" t="s">
        <v>131</v>
      </c>
    </row>
    <row r="6" spans="1:10" x14ac:dyDescent="0.3">
      <c r="A6" t="s">
        <v>132</v>
      </c>
      <c r="C6">
        <v>23.5</v>
      </c>
      <c r="D6" t="s">
        <v>133</v>
      </c>
      <c r="E6" s="2"/>
    </row>
    <row r="7" spans="1:10" x14ac:dyDescent="0.3">
      <c r="A7" t="s">
        <v>134</v>
      </c>
      <c r="C7">
        <v>10.5</v>
      </c>
      <c r="D7" t="s">
        <v>131</v>
      </c>
    </row>
    <row r="8" spans="1:10" x14ac:dyDescent="0.3">
      <c r="A8" t="s">
        <v>135</v>
      </c>
      <c r="C8" cm="1">
        <f t="array" ref="C8" xml:space="preserve"> rhoPav * asphaltThickness * LanesWidth</f>
        <v>24.675000000000001</v>
      </c>
      <c r="D8" t="s">
        <v>136</v>
      </c>
    </row>
    <row r="10" spans="1:10" x14ac:dyDescent="0.3">
      <c r="A10" s="3" t="s">
        <v>27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x14ac:dyDescent="0.3">
      <c r="A11" t="s">
        <v>137</v>
      </c>
      <c r="C11">
        <f>0.575*9.8*2</f>
        <v>11.27</v>
      </c>
      <c r="D11" t="s">
        <v>140</v>
      </c>
    </row>
    <row r="13" spans="1:10" x14ac:dyDescent="0.3">
      <c r="A13" s="3" t="s">
        <v>138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x14ac:dyDescent="0.3">
      <c r="A14" t="s">
        <v>139</v>
      </c>
      <c r="C14">
        <f xml:space="preserve"> (0.1 + 0.3) * 9.8 * 2</f>
        <v>7.8400000000000007</v>
      </c>
      <c r="D14" t="s">
        <v>140</v>
      </c>
    </row>
    <row r="16" spans="1:10" x14ac:dyDescent="0.3">
      <c r="A16" s="3" t="s">
        <v>16</v>
      </c>
      <c r="B16" s="3"/>
      <c r="C16" s="3"/>
      <c r="D16" s="3"/>
      <c r="E16" s="3"/>
      <c r="F16" s="3"/>
      <c r="G16" s="3"/>
      <c r="H16" s="3"/>
      <c r="I16" s="3"/>
      <c r="J16" s="3"/>
    </row>
    <row r="17" spans="1:11" x14ac:dyDescent="0.3">
      <c r="A17" t="s">
        <v>7</v>
      </c>
      <c r="B17" t="s">
        <v>214</v>
      </c>
      <c r="C17" t="s">
        <v>215</v>
      </c>
      <c r="D17" t="s">
        <v>189</v>
      </c>
      <c r="E17" t="s">
        <v>190</v>
      </c>
      <c r="F17" s="1" t="s">
        <v>13</v>
      </c>
    </row>
    <row r="18" spans="1:11" x14ac:dyDescent="0.3">
      <c r="A18" s="1">
        <v>1</v>
      </c>
      <c r="B18" s="1">
        <v>0</v>
      </c>
      <c r="C18">
        <v>0</v>
      </c>
      <c r="D18" s="1">
        <f>$H$19*$H$20*B18</f>
        <v>0</v>
      </c>
      <c r="E18" s="1">
        <f>$H$19*$H$20*C18</f>
        <v>0</v>
      </c>
      <c r="F18" s="4" t="s">
        <v>187</v>
      </c>
      <c r="G18" t="s">
        <v>23</v>
      </c>
      <c r="H18" s="19">
        <f>COUNT(A18:A60)</f>
        <v>43</v>
      </c>
    </row>
    <row r="19" spans="1:11" x14ac:dyDescent="0.3">
      <c r="A19" s="1">
        <v>2</v>
      </c>
      <c r="B19" s="1">
        <f>C18</f>
        <v>0</v>
      </c>
      <c r="C19">
        <v>0</v>
      </c>
      <c r="D19" s="1">
        <f t="shared" ref="D19:D60" si="0">$H$19*$H$20*B19</f>
        <v>0</v>
      </c>
      <c r="E19" s="1">
        <f t="shared" ref="E19:E60" si="1">$H$19*$H$20*C19</f>
        <v>0</v>
      </c>
      <c r="G19" t="s">
        <v>17</v>
      </c>
      <c r="H19" s="19">
        <v>24.4</v>
      </c>
      <c r="I19" t="s">
        <v>18</v>
      </c>
      <c r="K19">
        <v>24.4</v>
      </c>
    </row>
    <row r="20" spans="1:11" x14ac:dyDescent="0.3">
      <c r="A20" s="1">
        <f>Frames!A4</f>
        <v>3</v>
      </c>
      <c r="B20" s="1">
        <f t="shared" ref="B20:B60" si="2">C19</f>
        <v>0</v>
      </c>
      <c r="C20">
        <v>0</v>
      </c>
      <c r="D20" s="1">
        <f t="shared" si="0"/>
        <v>0</v>
      </c>
      <c r="E20" s="1">
        <f t="shared" si="1"/>
        <v>0</v>
      </c>
      <c r="F20" t="str">
        <f>Frames!K4</f>
        <v>m2-18 / m2-17</v>
      </c>
      <c r="G20" t="s">
        <v>19</v>
      </c>
      <c r="H20" s="19">
        <v>10.5</v>
      </c>
      <c r="I20" t="s">
        <v>20</v>
      </c>
    </row>
    <row r="21" spans="1:11" x14ac:dyDescent="0.3">
      <c r="A21" s="1">
        <f>Frames!A5</f>
        <v>4</v>
      </c>
      <c r="B21" s="1">
        <f t="shared" si="2"/>
        <v>0</v>
      </c>
      <c r="C21">
        <v>0</v>
      </c>
      <c r="D21" s="1">
        <f t="shared" si="0"/>
        <v>0</v>
      </c>
      <c r="E21" s="1">
        <f t="shared" si="1"/>
        <v>0</v>
      </c>
      <c r="F21" t="str">
        <f>Frames!K5</f>
        <v>m2-17 / m2-16</v>
      </c>
      <c r="G21" t="s">
        <v>21</v>
      </c>
      <c r="H21" s="18" t="s">
        <v>22</v>
      </c>
    </row>
    <row r="22" spans="1:11" x14ac:dyDescent="0.3">
      <c r="A22" s="1">
        <f>Frames!A6</f>
        <v>5</v>
      </c>
      <c r="B22" s="1">
        <f t="shared" si="2"/>
        <v>0</v>
      </c>
      <c r="C22">
        <v>0</v>
      </c>
      <c r="D22" s="1">
        <f t="shared" si="0"/>
        <v>0</v>
      </c>
      <c r="E22" s="1">
        <f t="shared" si="1"/>
        <v>0</v>
      </c>
      <c r="F22" t="str">
        <f>Frames!K6</f>
        <v>m2-16 / m2-15</v>
      </c>
    </row>
    <row r="23" spans="1:11" x14ac:dyDescent="0.3">
      <c r="A23" s="1">
        <f>Frames!A7</f>
        <v>6</v>
      </c>
      <c r="B23" s="1">
        <f t="shared" si="2"/>
        <v>0</v>
      </c>
      <c r="C23">
        <v>0</v>
      </c>
      <c r="D23" s="1">
        <f t="shared" si="0"/>
        <v>0</v>
      </c>
      <c r="E23" s="1">
        <f t="shared" si="1"/>
        <v>0</v>
      </c>
      <c r="F23" t="str">
        <f>Frames!K7</f>
        <v>m2-15 / m2-14</v>
      </c>
    </row>
    <row r="24" spans="1:11" x14ac:dyDescent="0.3">
      <c r="A24" s="1">
        <f>Frames!A8</f>
        <v>7</v>
      </c>
      <c r="B24" s="1">
        <f t="shared" si="2"/>
        <v>0</v>
      </c>
      <c r="C24">
        <v>0</v>
      </c>
      <c r="D24" s="1">
        <f t="shared" si="0"/>
        <v>0</v>
      </c>
      <c r="E24" s="1">
        <f t="shared" si="1"/>
        <v>0</v>
      </c>
      <c r="F24" t="str">
        <f>Frames!K8</f>
        <v>m2-14 / m2-13</v>
      </c>
    </row>
    <row r="25" spans="1:11" x14ac:dyDescent="0.3">
      <c r="A25" s="1">
        <f>Frames!A9</f>
        <v>8</v>
      </c>
      <c r="B25" s="1">
        <f t="shared" si="2"/>
        <v>0</v>
      </c>
      <c r="C25">
        <v>0</v>
      </c>
      <c r="D25" s="1">
        <f t="shared" si="0"/>
        <v>0</v>
      </c>
      <c r="E25" s="1">
        <f t="shared" si="1"/>
        <v>0</v>
      </c>
      <c r="F25" t="str">
        <f>Frames!K9</f>
        <v>m2-13 / m2-12</v>
      </c>
    </row>
    <row r="26" spans="1:11" x14ac:dyDescent="0.3">
      <c r="A26" s="1">
        <f>Frames!A10</f>
        <v>9</v>
      </c>
      <c r="B26" s="1">
        <f t="shared" si="2"/>
        <v>0</v>
      </c>
      <c r="C26">
        <v>0</v>
      </c>
      <c r="D26" s="1">
        <f t="shared" si="0"/>
        <v>0</v>
      </c>
      <c r="E26" s="1">
        <f t="shared" si="1"/>
        <v>0</v>
      </c>
      <c r="F26" t="str">
        <f>Frames!K10</f>
        <v>m2-12 / m2-11</v>
      </c>
    </row>
    <row r="27" spans="1:11" x14ac:dyDescent="0.3">
      <c r="A27" s="1">
        <f>Frames!A11</f>
        <v>10</v>
      </c>
      <c r="B27" s="1">
        <f t="shared" si="2"/>
        <v>0</v>
      </c>
      <c r="C27">
        <v>0</v>
      </c>
      <c r="D27" s="1">
        <f t="shared" si="0"/>
        <v>0</v>
      </c>
      <c r="E27" s="1">
        <f t="shared" si="1"/>
        <v>0</v>
      </c>
      <c r="F27" t="str">
        <f>Frames!K11</f>
        <v>m2-11 / m2-10</v>
      </c>
    </row>
    <row r="28" spans="1:11" x14ac:dyDescent="0.3">
      <c r="A28" s="1">
        <f>Frames!A12</f>
        <v>11</v>
      </c>
      <c r="B28" s="1">
        <f t="shared" si="2"/>
        <v>0</v>
      </c>
      <c r="C28">
        <v>0</v>
      </c>
      <c r="D28" s="1">
        <f t="shared" si="0"/>
        <v>0</v>
      </c>
      <c r="E28" s="1">
        <f t="shared" si="1"/>
        <v>0</v>
      </c>
      <c r="F28" t="str">
        <f>Frames!K12</f>
        <v>m2-10 / m2-09</v>
      </c>
    </row>
    <row r="29" spans="1:11" x14ac:dyDescent="0.3">
      <c r="A29" s="1">
        <f>Frames!A13</f>
        <v>12</v>
      </c>
      <c r="B29" s="1">
        <f t="shared" si="2"/>
        <v>0</v>
      </c>
      <c r="C29">
        <v>0</v>
      </c>
      <c r="D29" s="1">
        <f t="shared" si="0"/>
        <v>0</v>
      </c>
      <c r="E29" s="1">
        <f t="shared" si="1"/>
        <v>0</v>
      </c>
      <c r="F29" t="str">
        <f>Frames!K13</f>
        <v>m2-09 / m2-08</v>
      </c>
    </row>
    <row r="30" spans="1:11" x14ac:dyDescent="0.3">
      <c r="A30" s="1">
        <f>Frames!A14</f>
        <v>13</v>
      </c>
      <c r="B30" s="1">
        <f t="shared" si="2"/>
        <v>0</v>
      </c>
      <c r="C30">
        <v>0</v>
      </c>
      <c r="D30" s="1">
        <f t="shared" si="0"/>
        <v>0</v>
      </c>
      <c r="E30" s="1">
        <f t="shared" si="1"/>
        <v>0</v>
      </c>
      <c r="F30" t="str">
        <f>Frames!K14</f>
        <v>m2-08 / m2-07</v>
      </c>
    </row>
    <row r="31" spans="1:11" x14ac:dyDescent="0.3">
      <c r="A31" s="1">
        <f>Frames!A15</f>
        <v>14</v>
      </c>
      <c r="B31" s="1">
        <f t="shared" si="2"/>
        <v>0</v>
      </c>
      <c r="C31">
        <v>0</v>
      </c>
      <c r="D31" s="1">
        <f t="shared" si="0"/>
        <v>0</v>
      </c>
      <c r="E31" s="1">
        <f t="shared" si="1"/>
        <v>0</v>
      </c>
      <c r="F31" t="str">
        <f>Frames!K15</f>
        <v>m2-07 / m2-06</v>
      </c>
    </row>
    <row r="32" spans="1:11" x14ac:dyDescent="0.3">
      <c r="A32" s="1">
        <f>Frames!A16</f>
        <v>15</v>
      </c>
      <c r="B32" s="1">
        <f t="shared" si="2"/>
        <v>0</v>
      </c>
      <c r="C32">
        <v>0.35</v>
      </c>
      <c r="D32" s="1">
        <f t="shared" si="0"/>
        <v>0</v>
      </c>
      <c r="E32" s="1">
        <f t="shared" si="1"/>
        <v>89.669999999999987</v>
      </c>
      <c r="F32" t="str">
        <f>Frames!K16</f>
        <v>m2-06 / m2-05</v>
      </c>
    </row>
    <row r="33" spans="1:6" x14ac:dyDescent="0.3">
      <c r="A33" s="1">
        <f>Frames!A17</f>
        <v>16</v>
      </c>
      <c r="B33" s="1">
        <f t="shared" si="2"/>
        <v>0.35</v>
      </c>
      <c r="C33">
        <v>0.35</v>
      </c>
      <c r="D33" s="1">
        <f t="shared" si="0"/>
        <v>89.669999999999987</v>
      </c>
      <c r="E33" s="1">
        <f t="shared" si="1"/>
        <v>89.669999999999987</v>
      </c>
      <c r="F33" t="str">
        <f>Frames!K17</f>
        <v>m2-05 / m2-04</v>
      </c>
    </row>
    <row r="34" spans="1:6" x14ac:dyDescent="0.3">
      <c r="A34" s="1">
        <f>Frames!A18</f>
        <v>17</v>
      </c>
      <c r="B34" s="1">
        <f t="shared" si="2"/>
        <v>0.35</v>
      </c>
      <c r="C34">
        <v>0.3</v>
      </c>
      <c r="D34" s="1">
        <f t="shared" si="0"/>
        <v>89.669999999999987</v>
      </c>
      <c r="E34" s="1">
        <f t="shared" si="1"/>
        <v>76.86</v>
      </c>
      <c r="F34" t="str">
        <f>Frames!K18</f>
        <v>m2-04 / m2-03</v>
      </c>
    </row>
    <row r="35" spans="1:6" x14ac:dyDescent="0.3">
      <c r="A35" s="1">
        <f>Frames!A19</f>
        <v>18</v>
      </c>
      <c r="B35" s="1">
        <f t="shared" si="2"/>
        <v>0.3</v>
      </c>
      <c r="C35">
        <v>0.1</v>
      </c>
      <c r="D35" s="1">
        <f t="shared" si="0"/>
        <v>76.86</v>
      </c>
      <c r="E35" s="1">
        <f t="shared" si="1"/>
        <v>25.62</v>
      </c>
      <c r="F35" t="str">
        <f>Frames!K19</f>
        <v>m2-03 / m2-02</v>
      </c>
    </row>
    <row r="36" spans="1:6" x14ac:dyDescent="0.3">
      <c r="A36" s="1">
        <f>Frames!A20</f>
        <v>19</v>
      </c>
      <c r="B36" s="1">
        <f t="shared" si="2"/>
        <v>0.1</v>
      </c>
      <c r="C36">
        <v>0</v>
      </c>
      <c r="D36" s="1">
        <f t="shared" si="0"/>
        <v>25.62</v>
      </c>
      <c r="E36" s="1">
        <f t="shared" si="1"/>
        <v>0</v>
      </c>
      <c r="F36" t="str">
        <f>Frames!K20</f>
        <v>m2-02 /m2-01</v>
      </c>
    </row>
    <row r="37" spans="1:6" x14ac:dyDescent="0.3">
      <c r="A37" s="1">
        <f>Frames!A21</f>
        <v>20</v>
      </c>
      <c r="B37" s="1">
        <f t="shared" si="2"/>
        <v>0</v>
      </c>
      <c r="C37">
        <v>0</v>
      </c>
      <c r="D37" s="1">
        <f t="shared" si="0"/>
        <v>0</v>
      </c>
      <c r="E37" s="1">
        <f t="shared" si="1"/>
        <v>0</v>
      </c>
    </row>
    <row r="38" spans="1:6" x14ac:dyDescent="0.3">
      <c r="A38" s="1">
        <f>Frames!A22</f>
        <v>21</v>
      </c>
      <c r="B38" s="1">
        <f t="shared" si="2"/>
        <v>0</v>
      </c>
      <c r="C38">
        <v>0</v>
      </c>
      <c r="D38" s="1">
        <f t="shared" si="0"/>
        <v>0</v>
      </c>
      <c r="E38" s="1">
        <f t="shared" si="1"/>
        <v>0</v>
      </c>
    </row>
    <row r="39" spans="1:6" x14ac:dyDescent="0.3">
      <c r="A39" s="1">
        <f>Frames!A23</f>
        <v>22</v>
      </c>
      <c r="B39" s="1">
        <f t="shared" si="2"/>
        <v>0</v>
      </c>
      <c r="C39">
        <v>0</v>
      </c>
      <c r="D39" s="1">
        <f t="shared" si="0"/>
        <v>0</v>
      </c>
      <c r="E39" s="1">
        <f t="shared" si="1"/>
        <v>0</v>
      </c>
      <c r="F39" t="str">
        <f>Frames!K23</f>
        <v>Support 14 - Mastro</v>
      </c>
    </row>
    <row r="40" spans="1:6" x14ac:dyDescent="0.3">
      <c r="A40" s="1">
        <f>Frames!A24</f>
        <v>23</v>
      </c>
      <c r="B40" s="1">
        <f t="shared" si="2"/>
        <v>0</v>
      </c>
      <c r="C40">
        <v>0</v>
      </c>
      <c r="D40" s="1">
        <f t="shared" si="0"/>
        <v>0</v>
      </c>
      <c r="E40" s="1">
        <f t="shared" si="1"/>
        <v>0</v>
      </c>
    </row>
    <row r="41" spans="1:6" x14ac:dyDescent="0.3">
      <c r="A41" s="1">
        <f>Frames!A25</f>
        <v>24</v>
      </c>
      <c r="B41" s="1">
        <f t="shared" si="2"/>
        <v>0</v>
      </c>
      <c r="C41">
        <v>0</v>
      </c>
      <c r="D41" s="1">
        <f t="shared" si="0"/>
        <v>0</v>
      </c>
      <c r="E41" s="1">
        <f t="shared" si="1"/>
        <v>0</v>
      </c>
    </row>
    <row r="42" spans="1:6" x14ac:dyDescent="0.3">
      <c r="A42" s="1">
        <f>Frames!A26</f>
        <v>25</v>
      </c>
      <c r="B42" s="1">
        <f t="shared" si="2"/>
        <v>0</v>
      </c>
      <c r="C42">
        <v>0</v>
      </c>
      <c r="D42" s="1">
        <f t="shared" si="0"/>
        <v>0</v>
      </c>
      <c r="E42" s="1">
        <f t="shared" si="1"/>
        <v>0</v>
      </c>
    </row>
    <row r="43" spans="1:6" x14ac:dyDescent="0.3">
      <c r="A43" s="1">
        <f>Frames!A27</f>
        <v>26</v>
      </c>
      <c r="B43" s="1">
        <f t="shared" si="2"/>
        <v>0</v>
      </c>
      <c r="C43">
        <v>0</v>
      </c>
      <c r="D43" s="1">
        <f t="shared" si="0"/>
        <v>0</v>
      </c>
      <c r="E43" s="1">
        <f t="shared" si="1"/>
        <v>0</v>
      </c>
      <c r="F43" t="str">
        <f>Frames!K27</f>
        <v>r2-01 / r2-02</v>
      </c>
    </row>
    <row r="44" spans="1:6" x14ac:dyDescent="0.3">
      <c r="A44" s="1">
        <f>Frames!A28</f>
        <v>27</v>
      </c>
      <c r="B44" s="1">
        <f t="shared" si="2"/>
        <v>0</v>
      </c>
      <c r="C44">
        <v>0</v>
      </c>
      <c r="D44" s="1">
        <f t="shared" si="0"/>
        <v>0</v>
      </c>
      <c r="E44" s="1">
        <f t="shared" si="1"/>
        <v>0</v>
      </c>
      <c r="F44" t="str">
        <f>Frames!K28</f>
        <v>r2-02 / r2-03</v>
      </c>
    </row>
    <row r="45" spans="1:6" x14ac:dyDescent="0.3">
      <c r="A45" s="1">
        <f>Frames!A29</f>
        <v>28</v>
      </c>
      <c r="B45" s="1">
        <f t="shared" si="2"/>
        <v>0</v>
      </c>
      <c r="C45">
        <v>0</v>
      </c>
      <c r="D45" s="1">
        <f t="shared" si="0"/>
        <v>0</v>
      </c>
      <c r="E45" s="1">
        <f t="shared" si="1"/>
        <v>0</v>
      </c>
      <c r="F45" t="str">
        <f>Frames!K29</f>
        <v>r2-03 / r2-04</v>
      </c>
    </row>
    <row r="46" spans="1:6" x14ac:dyDescent="0.3">
      <c r="A46" s="1">
        <f>Frames!A30</f>
        <v>29</v>
      </c>
      <c r="B46" s="1">
        <f t="shared" si="2"/>
        <v>0</v>
      </c>
      <c r="C46">
        <v>0</v>
      </c>
      <c r="D46" s="1">
        <f t="shared" si="0"/>
        <v>0</v>
      </c>
      <c r="E46" s="1">
        <f t="shared" si="1"/>
        <v>0</v>
      </c>
      <c r="F46" t="str">
        <f>Frames!K30</f>
        <v>r2-04 / r2-05</v>
      </c>
    </row>
    <row r="47" spans="1:6" x14ac:dyDescent="0.3">
      <c r="A47" s="1">
        <f>Frames!A31</f>
        <v>30</v>
      </c>
      <c r="B47" s="1">
        <f t="shared" si="2"/>
        <v>0</v>
      </c>
      <c r="C47">
        <v>0</v>
      </c>
      <c r="D47" s="1">
        <f t="shared" si="0"/>
        <v>0</v>
      </c>
      <c r="E47" s="1">
        <f t="shared" si="1"/>
        <v>0</v>
      </c>
      <c r="F47" t="str">
        <f>Frames!K31</f>
        <v>r2-05 / r2-06</v>
      </c>
    </row>
    <row r="48" spans="1:6" x14ac:dyDescent="0.3">
      <c r="A48" s="1">
        <f>Frames!A32</f>
        <v>31</v>
      </c>
      <c r="B48" s="1">
        <f t="shared" si="2"/>
        <v>0</v>
      </c>
      <c r="C48">
        <v>0</v>
      </c>
      <c r="D48" s="1">
        <f t="shared" si="0"/>
        <v>0</v>
      </c>
      <c r="E48" s="1">
        <f t="shared" si="1"/>
        <v>0</v>
      </c>
      <c r="F48" t="str">
        <f>Frames!K32</f>
        <v>r2-06 / r2-07</v>
      </c>
    </row>
    <row r="49" spans="1:6" x14ac:dyDescent="0.3">
      <c r="A49" s="1">
        <f>Frames!A33</f>
        <v>32</v>
      </c>
      <c r="B49" s="1">
        <f t="shared" si="2"/>
        <v>0</v>
      </c>
      <c r="C49">
        <v>0</v>
      </c>
      <c r="D49" s="1">
        <f t="shared" si="0"/>
        <v>0</v>
      </c>
      <c r="E49" s="1">
        <f t="shared" si="1"/>
        <v>0</v>
      </c>
      <c r="F49" t="str">
        <f>Frames!K33</f>
        <v>r2-07 / r2-08</v>
      </c>
    </row>
    <row r="50" spans="1:6" x14ac:dyDescent="0.3">
      <c r="A50" s="1">
        <f>Frames!A34</f>
        <v>33</v>
      </c>
      <c r="B50" s="1">
        <f t="shared" si="2"/>
        <v>0</v>
      </c>
      <c r="C50">
        <v>0</v>
      </c>
      <c r="D50" s="1">
        <f t="shared" si="0"/>
        <v>0</v>
      </c>
      <c r="E50" s="1">
        <f t="shared" si="1"/>
        <v>0</v>
      </c>
      <c r="F50" t="str">
        <f>Frames!K34</f>
        <v>r2-08 / r2-09</v>
      </c>
    </row>
    <row r="51" spans="1:6" x14ac:dyDescent="0.3">
      <c r="A51" s="1">
        <f>Frames!A35</f>
        <v>34</v>
      </c>
      <c r="B51" s="1">
        <f t="shared" si="2"/>
        <v>0</v>
      </c>
      <c r="C51">
        <v>0</v>
      </c>
      <c r="D51" s="1">
        <f t="shared" si="0"/>
        <v>0</v>
      </c>
      <c r="E51" s="1">
        <f t="shared" si="1"/>
        <v>0</v>
      </c>
      <c r="F51" t="str">
        <f>Frames!K35</f>
        <v>r2-09 / r2-10</v>
      </c>
    </row>
    <row r="52" spans="1:6" x14ac:dyDescent="0.3">
      <c r="A52" s="1">
        <f>Frames!A36</f>
        <v>35</v>
      </c>
      <c r="B52" s="1">
        <f t="shared" si="2"/>
        <v>0</v>
      </c>
      <c r="C52">
        <v>0</v>
      </c>
      <c r="D52" s="1">
        <f t="shared" si="0"/>
        <v>0</v>
      </c>
      <c r="E52" s="1">
        <f t="shared" si="1"/>
        <v>0</v>
      </c>
      <c r="F52" t="str">
        <f>Frames!K36</f>
        <v>r2-10  / r2-11</v>
      </c>
    </row>
    <row r="53" spans="1:6" x14ac:dyDescent="0.3">
      <c r="A53" s="1">
        <f>Frames!A37</f>
        <v>36</v>
      </c>
      <c r="B53" s="1">
        <f t="shared" si="2"/>
        <v>0</v>
      </c>
      <c r="C53">
        <v>0</v>
      </c>
      <c r="D53" s="1">
        <f t="shared" si="0"/>
        <v>0</v>
      </c>
      <c r="E53" s="1">
        <f t="shared" si="1"/>
        <v>0</v>
      </c>
      <c r="F53" t="str">
        <f>Frames!K37</f>
        <v>r2-11 / r2-12</v>
      </c>
    </row>
    <row r="54" spans="1:6" x14ac:dyDescent="0.3">
      <c r="A54" s="1">
        <f>Frames!A38</f>
        <v>37</v>
      </c>
      <c r="B54" s="1">
        <f t="shared" si="2"/>
        <v>0</v>
      </c>
      <c r="C54">
        <v>0</v>
      </c>
      <c r="D54" s="1">
        <f t="shared" si="0"/>
        <v>0</v>
      </c>
      <c r="E54" s="1">
        <f t="shared" si="1"/>
        <v>0</v>
      </c>
      <c r="F54" t="str">
        <f>Frames!K38</f>
        <v>r2-12 / r2-13</v>
      </c>
    </row>
    <row r="55" spans="1:6" x14ac:dyDescent="0.3">
      <c r="A55" s="1">
        <f>Frames!A39</f>
        <v>38</v>
      </c>
      <c r="B55" s="1">
        <f t="shared" si="2"/>
        <v>0</v>
      </c>
      <c r="C55">
        <v>0</v>
      </c>
      <c r="D55" s="1">
        <f t="shared" si="0"/>
        <v>0</v>
      </c>
      <c r="E55" s="1">
        <f t="shared" si="1"/>
        <v>0</v>
      </c>
      <c r="F55" t="str">
        <f>Frames!K39</f>
        <v>r2-13 / r2-14</v>
      </c>
    </row>
    <row r="56" spans="1:6" x14ac:dyDescent="0.3">
      <c r="A56" s="1">
        <f>Frames!A40</f>
        <v>39</v>
      </c>
      <c r="B56" s="1">
        <f t="shared" si="2"/>
        <v>0</v>
      </c>
      <c r="C56">
        <v>0</v>
      </c>
      <c r="D56" s="1">
        <f t="shared" si="0"/>
        <v>0</v>
      </c>
      <c r="E56" s="1">
        <f t="shared" si="1"/>
        <v>0</v>
      </c>
      <c r="F56" t="str">
        <f>Frames!K40</f>
        <v>r2-14 / r2-15</v>
      </c>
    </row>
    <row r="57" spans="1:6" x14ac:dyDescent="0.3">
      <c r="A57" s="1">
        <f>Frames!A41</f>
        <v>40</v>
      </c>
      <c r="B57" s="1">
        <f t="shared" si="2"/>
        <v>0</v>
      </c>
      <c r="C57">
        <v>0.3</v>
      </c>
      <c r="D57" s="1">
        <f t="shared" si="0"/>
        <v>0</v>
      </c>
      <c r="E57" s="1">
        <f t="shared" si="1"/>
        <v>76.86</v>
      </c>
      <c r="F57" t="str">
        <f>Frames!K41</f>
        <v>r2-15 / r2-16</v>
      </c>
    </row>
    <row r="58" spans="1:6" x14ac:dyDescent="0.3">
      <c r="A58" s="1">
        <f>Frames!A42</f>
        <v>41</v>
      </c>
      <c r="B58" s="1">
        <f t="shared" si="2"/>
        <v>0.3</v>
      </c>
      <c r="C58">
        <v>7.4999999999999997E-2</v>
      </c>
      <c r="D58" s="1">
        <f t="shared" si="0"/>
        <v>76.86</v>
      </c>
      <c r="E58" s="1">
        <f t="shared" si="1"/>
        <v>19.215</v>
      </c>
      <c r="F58" t="str">
        <f>Frames!K42</f>
        <v>r2-16 / r2-17</v>
      </c>
    </row>
    <row r="59" spans="1:6" x14ac:dyDescent="0.3">
      <c r="A59" s="1">
        <f>Frames!A43</f>
        <v>42</v>
      </c>
      <c r="B59" s="1">
        <f t="shared" si="2"/>
        <v>7.4999999999999997E-2</v>
      </c>
      <c r="C59">
        <v>2.5000000000000001E-2</v>
      </c>
      <c r="D59" s="1">
        <f t="shared" si="0"/>
        <v>19.215</v>
      </c>
      <c r="E59" s="1">
        <f t="shared" si="1"/>
        <v>6.4050000000000002</v>
      </c>
      <c r="F59" t="str">
        <f>Frames!K43</f>
        <v>r2-17 / r2-18</v>
      </c>
    </row>
    <row r="60" spans="1:6" x14ac:dyDescent="0.3">
      <c r="A60" s="1">
        <f>Frames!A44</f>
        <v>43</v>
      </c>
      <c r="B60" s="1">
        <f t="shared" si="2"/>
        <v>2.5000000000000001E-2</v>
      </c>
      <c r="C60">
        <v>0</v>
      </c>
      <c r="D60" s="1">
        <f t="shared" si="0"/>
        <v>6.4050000000000002</v>
      </c>
      <c r="E60" s="1">
        <f t="shared" si="1"/>
        <v>0</v>
      </c>
      <c r="F60" t="str">
        <f>Frames!K44</f>
        <v>r2-18 / end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25CB2-3759-4DCB-99BE-4797B4B1D0B0}">
  <sheetPr codeName="Sheet3"/>
  <dimension ref="A1:U73"/>
  <sheetViews>
    <sheetView topLeftCell="B1" workbookViewId="0">
      <selection activeCell="W10" sqref="W10"/>
    </sheetView>
  </sheetViews>
  <sheetFormatPr defaultRowHeight="14.4" x14ac:dyDescent="0.3"/>
  <sheetData>
    <row r="1" spans="1:21" x14ac:dyDescent="0.3">
      <c r="A1" t="s">
        <v>76</v>
      </c>
      <c r="C1" t="s">
        <v>0</v>
      </c>
      <c r="D1" t="s">
        <v>1</v>
      </c>
      <c r="E1" t="s">
        <v>2</v>
      </c>
      <c r="G1" t="s">
        <v>77</v>
      </c>
      <c r="I1" t="s">
        <v>3</v>
      </c>
      <c r="J1" t="s">
        <v>4</v>
      </c>
      <c r="K1" s="1" t="s">
        <v>5</v>
      </c>
      <c r="M1" t="s">
        <v>78</v>
      </c>
      <c r="O1" t="s">
        <v>105</v>
      </c>
      <c r="Q1" t="s">
        <v>79</v>
      </c>
      <c r="S1" t="s">
        <v>45</v>
      </c>
    </row>
    <row r="2" spans="1:21" x14ac:dyDescent="0.3">
      <c r="A2">
        <f>Frames!M5+1</f>
        <v>46</v>
      </c>
      <c r="C2">
        <f>Frames!B4</f>
        <v>10.15</v>
      </c>
      <c r="D2">
        <f>$U$3</f>
        <v>7.0750000000000002</v>
      </c>
      <c r="E2">
        <f>Frames!D4</f>
        <v>0</v>
      </c>
      <c r="G2">
        <f>A73+1</f>
        <v>118</v>
      </c>
      <c r="I2">
        <v>150</v>
      </c>
      <c r="J2">
        <v>0</v>
      </c>
      <c r="K2">
        <v>116.15</v>
      </c>
      <c r="M2" s="1" t="s">
        <v>218</v>
      </c>
      <c r="O2">
        <v>1316.8064000000002</v>
      </c>
      <c r="Q2">
        <v>3.3E-3</v>
      </c>
      <c r="S2" t="s">
        <v>216</v>
      </c>
      <c r="U2">
        <v>14.15</v>
      </c>
    </row>
    <row r="3" spans="1:21" x14ac:dyDescent="0.3">
      <c r="A3">
        <f>A2+1</f>
        <v>47</v>
      </c>
      <c r="C3">
        <f>C2</f>
        <v>10.15</v>
      </c>
      <c r="D3">
        <f>D2*-1</f>
        <v>-7.0750000000000002</v>
      </c>
      <c r="E3">
        <v>0</v>
      </c>
      <c r="I3">
        <v>150</v>
      </c>
      <c r="J3">
        <v>0</v>
      </c>
      <c r="K3">
        <f>K2</f>
        <v>116.15</v>
      </c>
      <c r="M3" s="1" t="s">
        <v>219</v>
      </c>
      <c r="O3">
        <v>1413.6304</v>
      </c>
      <c r="Q3">
        <v>3.15E-3</v>
      </c>
      <c r="S3" t="s">
        <v>217</v>
      </c>
      <c r="U3">
        <f>U2/2</f>
        <v>7.0750000000000002</v>
      </c>
    </row>
    <row r="4" spans="1:21" x14ac:dyDescent="0.3">
      <c r="A4">
        <f t="shared" ref="A4:A67" si="0">A3+1</f>
        <v>48</v>
      </c>
      <c r="C4">
        <f>Frames!B5</f>
        <v>17.149999999999999</v>
      </c>
      <c r="D4">
        <f>$U$3</f>
        <v>7.0750000000000002</v>
      </c>
      <c r="E4">
        <f>Frames!D5</f>
        <v>0</v>
      </c>
      <c r="G4">
        <f>G2+1</f>
        <v>119</v>
      </c>
      <c r="I4">
        <v>150</v>
      </c>
      <c r="J4">
        <v>0</v>
      </c>
      <c r="K4">
        <v>114.75</v>
      </c>
      <c r="M4" s="1" t="s">
        <v>220</v>
      </c>
      <c r="O4">
        <v>1542.8532</v>
      </c>
      <c r="Q4">
        <v>3.3E-3</v>
      </c>
    </row>
    <row r="5" spans="1:21" x14ac:dyDescent="0.3">
      <c r="A5">
        <f t="shared" si="0"/>
        <v>49</v>
      </c>
      <c r="C5">
        <f>C4</f>
        <v>17.149999999999999</v>
      </c>
      <c r="D5">
        <f>D4*-1</f>
        <v>-7.0750000000000002</v>
      </c>
      <c r="E5">
        <f>Frames!D6</f>
        <v>0</v>
      </c>
      <c r="I5">
        <v>150</v>
      </c>
      <c r="J5">
        <v>0</v>
      </c>
      <c r="K5">
        <f>K4</f>
        <v>114.75</v>
      </c>
      <c r="M5" s="1" t="s">
        <v>221</v>
      </c>
      <c r="O5">
        <v>1317.7080000000001</v>
      </c>
      <c r="Q5">
        <v>3.15E-3</v>
      </c>
    </row>
    <row r="6" spans="1:21" x14ac:dyDescent="0.3">
      <c r="A6">
        <f t="shared" si="0"/>
        <v>50</v>
      </c>
      <c r="C6">
        <f>Frames!B6</f>
        <v>24.15</v>
      </c>
      <c r="D6">
        <f>$U$3</f>
        <v>7.0750000000000002</v>
      </c>
      <c r="E6">
        <f>Frames!D7</f>
        <v>0</v>
      </c>
      <c r="G6">
        <f>G4+1</f>
        <v>120</v>
      </c>
      <c r="I6">
        <v>150</v>
      </c>
      <c r="J6">
        <v>0</v>
      </c>
      <c r="K6">
        <v>112.95</v>
      </c>
      <c r="M6" s="1" t="s">
        <v>222</v>
      </c>
      <c r="O6">
        <v>1441.1880000000001</v>
      </c>
      <c r="Q6">
        <v>3.3E-3</v>
      </c>
    </row>
    <row r="7" spans="1:21" x14ac:dyDescent="0.3">
      <c r="A7">
        <f t="shared" si="0"/>
        <v>51</v>
      </c>
      <c r="C7">
        <f>C6</f>
        <v>24.15</v>
      </c>
      <c r="D7">
        <f>D6*-1</f>
        <v>-7.0750000000000002</v>
      </c>
      <c r="E7">
        <f>Frames!D8</f>
        <v>0</v>
      </c>
      <c r="I7">
        <v>150</v>
      </c>
      <c r="J7">
        <v>0</v>
      </c>
      <c r="K7">
        <f>K6</f>
        <v>112.95</v>
      </c>
      <c r="M7" s="1" t="s">
        <v>223</v>
      </c>
      <c r="O7">
        <v>1407.1232</v>
      </c>
      <c r="Q7">
        <v>3.15E-3</v>
      </c>
    </row>
    <row r="8" spans="1:21" x14ac:dyDescent="0.3">
      <c r="A8">
        <f t="shared" si="0"/>
        <v>52</v>
      </c>
      <c r="C8">
        <f>Frames!B7</f>
        <v>31.15</v>
      </c>
      <c r="D8">
        <f>$U$3</f>
        <v>7.0750000000000002</v>
      </c>
      <c r="E8">
        <f>Frames!D9</f>
        <v>0</v>
      </c>
      <c r="G8">
        <f>G6+1</f>
        <v>121</v>
      </c>
      <c r="I8">
        <v>150</v>
      </c>
      <c r="J8">
        <v>0</v>
      </c>
      <c r="K8">
        <v>111.2</v>
      </c>
      <c r="M8" s="1" t="s">
        <v>224</v>
      </c>
      <c r="O8">
        <v>1604.2991999999999</v>
      </c>
      <c r="Q8">
        <v>3.3E-3</v>
      </c>
    </row>
    <row r="9" spans="1:21" x14ac:dyDescent="0.3">
      <c r="A9">
        <f t="shared" si="0"/>
        <v>53</v>
      </c>
      <c r="C9">
        <f>C8</f>
        <v>31.15</v>
      </c>
      <c r="D9">
        <f>D8*-1</f>
        <v>-7.0750000000000002</v>
      </c>
      <c r="E9">
        <f>Frames!D10</f>
        <v>0</v>
      </c>
      <c r="I9">
        <v>150</v>
      </c>
      <c r="J9">
        <v>0</v>
      </c>
      <c r="K9">
        <f>K8</f>
        <v>111.2</v>
      </c>
      <c r="M9" s="1" t="s">
        <v>225</v>
      </c>
      <c r="O9">
        <v>1537.2672</v>
      </c>
      <c r="Q9">
        <v>3.15E-3</v>
      </c>
    </row>
    <row r="10" spans="1:21" x14ac:dyDescent="0.3">
      <c r="A10">
        <f t="shared" si="0"/>
        <v>54</v>
      </c>
      <c r="C10">
        <f>Frames!B8</f>
        <v>38.15</v>
      </c>
      <c r="D10">
        <f>$U$3</f>
        <v>7.0750000000000002</v>
      </c>
      <c r="E10">
        <f>Frames!D11</f>
        <v>0</v>
      </c>
      <c r="G10">
        <f>G8+1</f>
        <v>122</v>
      </c>
      <c r="I10">
        <v>150</v>
      </c>
      <c r="J10">
        <v>0</v>
      </c>
      <c r="K10">
        <v>109.37</v>
      </c>
      <c r="M10" s="1" t="s">
        <v>226</v>
      </c>
      <c r="O10">
        <v>1515.2172</v>
      </c>
      <c r="Q10">
        <v>3.3E-3</v>
      </c>
    </row>
    <row r="11" spans="1:21" x14ac:dyDescent="0.3">
      <c r="A11">
        <f t="shared" si="0"/>
        <v>55</v>
      </c>
      <c r="C11">
        <f>C10</f>
        <v>38.15</v>
      </c>
      <c r="D11">
        <f>D10*-1</f>
        <v>-7.0750000000000002</v>
      </c>
      <c r="E11">
        <f>Frames!D12</f>
        <v>0</v>
      </c>
      <c r="I11">
        <v>150</v>
      </c>
      <c r="J11">
        <v>0</v>
      </c>
      <c r="K11">
        <f>K10</f>
        <v>109.37</v>
      </c>
      <c r="M11" s="1" t="s">
        <v>227</v>
      </c>
      <c r="O11">
        <v>1643.9794000000004</v>
      </c>
      <c r="Q11">
        <v>3.15E-3</v>
      </c>
    </row>
    <row r="12" spans="1:21" x14ac:dyDescent="0.3">
      <c r="A12">
        <f t="shared" si="0"/>
        <v>56</v>
      </c>
      <c r="C12">
        <f>Frames!B9</f>
        <v>45.15</v>
      </c>
      <c r="D12">
        <f>$U$3</f>
        <v>7.0750000000000002</v>
      </c>
      <c r="E12">
        <f>Frames!D13</f>
        <v>0</v>
      </c>
      <c r="G12">
        <f>G10+1</f>
        <v>123</v>
      </c>
      <c r="I12">
        <v>150</v>
      </c>
      <c r="J12">
        <v>0</v>
      </c>
      <c r="K12">
        <v>108.02</v>
      </c>
      <c r="M12" s="1" t="s">
        <v>228</v>
      </c>
      <c r="O12">
        <v>1502.1048000000001</v>
      </c>
      <c r="Q12">
        <v>3.3E-3</v>
      </c>
    </row>
    <row r="13" spans="1:21" x14ac:dyDescent="0.3">
      <c r="A13">
        <f t="shared" si="0"/>
        <v>57</v>
      </c>
      <c r="C13">
        <f>C12</f>
        <v>45.15</v>
      </c>
      <c r="D13">
        <f>D12*-1</f>
        <v>-7.0750000000000002</v>
      </c>
      <c r="E13">
        <f>Frames!D14</f>
        <v>0</v>
      </c>
      <c r="I13">
        <v>150</v>
      </c>
      <c r="J13">
        <v>0</v>
      </c>
      <c r="K13">
        <f>K12</f>
        <v>108.02</v>
      </c>
      <c r="M13" s="1" t="s">
        <v>229</v>
      </c>
      <c r="O13">
        <v>1735.2076000000002</v>
      </c>
      <c r="Q13">
        <v>3.15E-3</v>
      </c>
    </row>
    <row r="14" spans="1:21" x14ac:dyDescent="0.3">
      <c r="A14">
        <f t="shared" si="0"/>
        <v>58</v>
      </c>
      <c r="C14">
        <f>Frames!B10</f>
        <v>52.15</v>
      </c>
      <c r="D14">
        <f>$U$3</f>
        <v>7.0750000000000002</v>
      </c>
      <c r="E14">
        <f>Frames!D15</f>
        <v>0</v>
      </c>
      <c r="G14">
        <f>G12+1</f>
        <v>124</v>
      </c>
      <c r="I14">
        <v>150</v>
      </c>
      <c r="J14">
        <v>0</v>
      </c>
      <c r="K14">
        <v>105.71</v>
      </c>
      <c r="M14" s="1" t="s">
        <v>230</v>
      </c>
      <c r="O14">
        <v>1564.1534999999999</v>
      </c>
      <c r="Q14">
        <v>3.3E-3</v>
      </c>
    </row>
    <row r="15" spans="1:21" x14ac:dyDescent="0.3">
      <c r="A15">
        <f t="shared" si="0"/>
        <v>59</v>
      </c>
      <c r="C15">
        <f>C14</f>
        <v>52.15</v>
      </c>
      <c r="D15">
        <f>D14*-1</f>
        <v>-7.0750000000000002</v>
      </c>
      <c r="E15">
        <f>Frames!D16</f>
        <v>0</v>
      </c>
      <c r="I15">
        <v>150</v>
      </c>
      <c r="J15">
        <v>0</v>
      </c>
      <c r="K15">
        <f>K14</f>
        <v>105.71</v>
      </c>
      <c r="M15" s="1" t="s">
        <v>231</v>
      </c>
      <c r="O15">
        <v>1811.3634000000002</v>
      </c>
      <c r="Q15">
        <v>3.15E-3</v>
      </c>
    </row>
    <row r="16" spans="1:21" x14ac:dyDescent="0.3">
      <c r="A16">
        <f t="shared" si="0"/>
        <v>60</v>
      </c>
      <c r="C16">
        <f>Frames!B11</f>
        <v>59.15</v>
      </c>
      <c r="D16">
        <f>$U$3</f>
        <v>7.0750000000000002</v>
      </c>
      <c r="E16">
        <f>Frames!D17</f>
        <v>0</v>
      </c>
      <c r="G16">
        <f>G14+1</f>
        <v>125</v>
      </c>
      <c r="I16">
        <v>150</v>
      </c>
      <c r="J16">
        <v>0</v>
      </c>
      <c r="K16">
        <v>103.7</v>
      </c>
      <c r="M16" s="1" t="s">
        <v>232</v>
      </c>
      <c r="O16">
        <v>1380.2712000000001</v>
      </c>
      <c r="Q16">
        <v>3.3E-3</v>
      </c>
    </row>
    <row r="17" spans="1:17" x14ac:dyDescent="0.3">
      <c r="A17">
        <f t="shared" si="0"/>
        <v>61</v>
      </c>
      <c r="C17">
        <f>C16</f>
        <v>59.15</v>
      </c>
      <c r="D17">
        <f>D16*-1</f>
        <v>-7.0750000000000002</v>
      </c>
      <c r="E17">
        <f>Frames!D18</f>
        <v>0</v>
      </c>
      <c r="I17">
        <v>150</v>
      </c>
      <c r="J17">
        <v>0</v>
      </c>
      <c r="K17">
        <f>K16</f>
        <v>103.7</v>
      </c>
      <c r="M17" s="1" t="s">
        <v>233</v>
      </c>
      <c r="O17">
        <v>1482.8576</v>
      </c>
      <c r="Q17">
        <v>3.15E-3</v>
      </c>
    </row>
    <row r="18" spans="1:17" x14ac:dyDescent="0.3">
      <c r="A18">
        <f t="shared" si="0"/>
        <v>62</v>
      </c>
      <c r="C18">
        <f>Frames!B12</f>
        <v>66.150000000000006</v>
      </c>
      <c r="D18">
        <f>$U$3</f>
        <v>7.0750000000000002</v>
      </c>
      <c r="E18">
        <f>Frames!D19</f>
        <v>0</v>
      </c>
      <c r="G18">
        <f>G16+1</f>
        <v>126</v>
      </c>
      <c r="I18">
        <v>150</v>
      </c>
      <c r="J18">
        <v>0</v>
      </c>
      <c r="K18">
        <v>102.26</v>
      </c>
      <c r="M18" s="1" t="s">
        <v>234</v>
      </c>
      <c r="O18">
        <v>1283.2512000000002</v>
      </c>
      <c r="Q18">
        <v>3.3E-3</v>
      </c>
    </row>
    <row r="19" spans="1:17" x14ac:dyDescent="0.3">
      <c r="A19">
        <f t="shared" si="0"/>
        <v>63</v>
      </c>
      <c r="C19">
        <f>C18</f>
        <v>66.150000000000006</v>
      </c>
      <c r="D19">
        <f>D18*-1</f>
        <v>-7.0750000000000002</v>
      </c>
      <c r="E19">
        <f>Frames!D20</f>
        <v>0</v>
      </c>
      <c r="I19">
        <v>150</v>
      </c>
      <c r="J19">
        <v>0</v>
      </c>
      <c r="K19">
        <f>K18</f>
        <v>102.26</v>
      </c>
      <c r="M19" s="1" t="s">
        <v>235</v>
      </c>
      <c r="O19">
        <v>1486.3463999999999</v>
      </c>
      <c r="Q19">
        <v>3.15E-3</v>
      </c>
    </row>
    <row r="20" spans="1:17" x14ac:dyDescent="0.3">
      <c r="A20">
        <f t="shared" si="0"/>
        <v>64</v>
      </c>
      <c r="C20">
        <f>Frames!B13</f>
        <v>73.150000000000006</v>
      </c>
      <c r="D20">
        <f>$U$3</f>
        <v>7.0750000000000002</v>
      </c>
      <c r="E20">
        <f>Frames!D21</f>
        <v>0</v>
      </c>
      <c r="G20">
        <f>G18+1</f>
        <v>127</v>
      </c>
      <c r="I20">
        <v>150</v>
      </c>
      <c r="J20">
        <v>0</v>
      </c>
      <c r="K20">
        <v>100.6</v>
      </c>
      <c r="M20" s="1" t="s">
        <v>236</v>
      </c>
      <c r="O20">
        <v>1364.846</v>
      </c>
      <c r="Q20">
        <v>3.3E-3</v>
      </c>
    </row>
    <row r="21" spans="1:17" x14ac:dyDescent="0.3">
      <c r="A21">
        <f t="shared" si="0"/>
        <v>65</v>
      </c>
      <c r="C21">
        <f>C20</f>
        <v>73.150000000000006</v>
      </c>
      <c r="D21">
        <f>D20*-1</f>
        <v>-7.0750000000000002</v>
      </c>
      <c r="E21">
        <v>0</v>
      </c>
      <c r="I21">
        <v>150</v>
      </c>
      <c r="J21">
        <v>0</v>
      </c>
      <c r="K21">
        <f>K20</f>
        <v>100.6</v>
      </c>
      <c r="M21" s="1" t="s">
        <v>237</v>
      </c>
      <c r="O21">
        <v>1355.5555999999999</v>
      </c>
      <c r="Q21">
        <v>3.15E-3</v>
      </c>
    </row>
    <row r="22" spans="1:17" x14ac:dyDescent="0.3">
      <c r="A22">
        <f t="shared" si="0"/>
        <v>66</v>
      </c>
      <c r="C22">
        <f>Frames!B14</f>
        <v>80.150000000000006</v>
      </c>
      <c r="D22">
        <f>$U$3</f>
        <v>7.0750000000000002</v>
      </c>
      <c r="E22">
        <v>0</v>
      </c>
      <c r="G22">
        <f>G20+1</f>
        <v>128</v>
      </c>
      <c r="I22">
        <v>150</v>
      </c>
      <c r="J22">
        <v>0</v>
      </c>
      <c r="K22">
        <v>98.4</v>
      </c>
      <c r="M22" s="1" t="s">
        <v>238</v>
      </c>
      <c r="O22">
        <v>1220.7585600000002</v>
      </c>
      <c r="Q22">
        <v>3.3E-3</v>
      </c>
    </row>
    <row r="23" spans="1:17" x14ac:dyDescent="0.3">
      <c r="A23">
        <f t="shared" si="0"/>
        <v>67</v>
      </c>
      <c r="C23">
        <f>C22</f>
        <v>80.150000000000006</v>
      </c>
      <c r="D23">
        <f>D22*-1</f>
        <v>-7.0750000000000002</v>
      </c>
      <c r="E23">
        <v>0</v>
      </c>
      <c r="I23">
        <v>150</v>
      </c>
      <c r="J23">
        <v>0</v>
      </c>
      <c r="K23">
        <f>K22</f>
        <v>98.4</v>
      </c>
      <c r="M23" s="1" t="s">
        <v>239</v>
      </c>
      <c r="O23">
        <v>1376.2532000000001</v>
      </c>
      <c r="Q23">
        <v>3.15E-3</v>
      </c>
    </row>
    <row r="24" spans="1:17" x14ac:dyDescent="0.3">
      <c r="A24">
        <f t="shared" si="0"/>
        <v>68</v>
      </c>
      <c r="C24">
        <f>Frames!B15</f>
        <v>87.15</v>
      </c>
      <c r="D24">
        <f>$U$3</f>
        <v>7.0750000000000002</v>
      </c>
      <c r="E24">
        <v>0</v>
      </c>
      <c r="G24">
        <f>G22+1</f>
        <v>129</v>
      </c>
      <c r="I24">
        <v>150</v>
      </c>
      <c r="J24">
        <v>0</v>
      </c>
      <c r="K24">
        <v>97.37</v>
      </c>
      <c r="M24" s="1" t="s">
        <v>240</v>
      </c>
      <c r="O24">
        <v>1260.672</v>
      </c>
      <c r="Q24">
        <v>3.0000000000000001E-3</v>
      </c>
    </row>
    <row r="25" spans="1:17" x14ac:dyDescent="0.3">
      <c r="A25">
        <f t="shared" si="0"/>
        <v>69</v>
      </c>
      <c r="C25">
        <f>C24</f>
        <v>87.15</v>
      </c>
      <c r="D25">
        <f>D24*-1</f>
        <v>-7.0750000000000002</v>
      </c>
      <c r="E25">
        <v>0</v>
      </c>
      <c r="I25">
        <v>150</v>
      </c>
      <c r="J25">
        <v>0</v>
      </c>
      <c r="K25">
        <f>K24</f>
        <v>97.37</v>
      </c>
      <c r="M25" s="1" t="s">
        <v>241</v>
      </c>
      <c r="O25">
        <v>1357.7655</v>
      </c>
      <c r="Q25">
        <v>2.8500000000000001E-3</v>
      </c>
    </row>
    <row r="26" spans="1:17" x14ac:dyDescent="0.3">
      <c r="A26">
        <f t="shared" si="0"/>
        <v>70</v>
      </c>
      <c r="C26">
        <f>Frames!B16</f>
        <v>94.15</v>
      </c>
      <c r="D26">
        <f>$U$3</f>
        <v>7.0750000000000002</v>
      </c>
      <c r="E26">
        <v>0</v>
      </c>
      <c r="G26">
        <f>G24+1</f>
        <v>130</v>
      </c>
      <c r="I26">
        <v>150</v>
      </c>
      <c r="J26">
        <v>0</v>
      </c>
      <c r="K26">
        <v>95.64</v>
      </c>
      <c r="M26" s="1" t="s">
        <v>242</v>
      </c>
      <c r="O26">
        <v>1282.3398</v>
      </c>
      <c r="Q26">
        <v>2.8500000000000001E-3</v>
      </c>
    </row>
    <row r="27" spans="1:17" x14ac:dyDescent="0.3">
      <c r="A27">
        <f t="shared" si="0"/>
        <v>71</v>
      </c>
      <c r="C27">
        <f>C26</f>
        <v>94.15</v>
      </c>
      <c r="D27">
        <f>D26*-1</f>
        <v>-7.0750000000000002</v>
      </c>
      <c r="E27">
        <v>0</v>
      </c>
      <c r="I27">
        <v>150</v>
      </c>
      <c r="J27">
        <v>0</v>
      </c>
      <c r="K27">
        <f>K26</f>
        <v>95.64</v>
      </c>
      <c r="M27" s="1" t="s">
        <v>243</v>
      </c>
      <c r="O27">
        <v>1407.5152</v>
      </c>
      <c r="Q27">
        <v>2.8500000000000001E-3</v>
      </c>
    </row>
    <row r="28" spans="1:17" x14ac:dyDescent="0.3">
      <c r="A28">
        <f t="shared" si="0"/>
        <v>72</v>
      </c>
      <c r="C28">
        <f>Frames!B17</f>
        <v>101.15</v>
      </c>
      <c r="D28">
        <f>$U$3</f>
        <v>7.0750000000000002</v>
      </c>
      <c r="E28">
        <v>0</v>
      </c>
      <c r="G28">
        <f>G26+1</f>
        <v>131</v>
      </c>
      <c r="I28">
        <v>150</v>
      </c>
      <c r="J28">
        <v>0</v>
      </c>
      <c r="K28">
        <v>94.27</v>
      </c>
      <c r="M28" s="1" t="s">
        <v>244</v>
      </c>
      <c r="O28">
        <v>1072.1984</v>
      </c>
      <c r="Q28">
        <v>3.0000000000000001E-3</v>
      </c>
    </row>
    <row r="29" spans="1:17" x14ac:dyDescent="0.3">
      <c r="A29">
        <f t="shared" si="0"/>
        <v>73</v>
      </c>
      <c r="C29">
        <f>C28</f>
        <v>101.15</v>
      </c>
      <c r="D29">
        <f>D28*-1</f>
        <v>-7.0750000000000002</v>
      </c>
      <c r="E29">
        <v>0</v>
      </c>
      <c r="I29">
        <v>150</v>
      </c>
      <c r="J29">
        <v>0</v>
      </c>
      <c r="K29">
        <f>K28</f>
        <v>94.27</v>
      </c>
      <c r="M29" s="1" t="s">
        <v>245</v>
      </c>
      <c r="O29">
        <v>1306.5360000000003</v>
      </c>
      <c r="Q29">
        <v>2.7000000000000001E-3</v>
      </c>
    </row>
    <row r="30" spans="1:17" x14ac:dyDescent="0.3">
      <c r="A30">
        <f t="shared" si="0"/>
        <v>74</v>
      </c>
      <c r="C30">
        <f>Frames!B18</f>
        <v>108.15</v>
      </c>
      <c r="D30">
        <f>$U$3</f>
        <v>7.0750000000000002</v>
      </c>
      <c r="E30">
        <v>0</v>
      </c>
      <c r="G30">
        <f>G28+1</f>
        <v>132</v>
      </c>
      <c r="I30">
        <v>150</v>
      </c>
      <c r="J30">
        <v>0</v>
      </c>
      <c r="K30">
        <v>92.06</v>
      </c>
      <c r="M30" s="1" t="s">
        <v>246</v>
      </c>
      <c r="O30">
        <v>908.10720000000003</v>
      </c>
      <c r="Q30">
        <v>3.0000000000000001E-3</v>
      </c>
    </row>
    <row r="31" spans="1:17" x14ac:dyDescent="0.3">
      <c r="A31">
        <f t="shared" si="0"/>
        <v>75</v>
      </c>
      <c r="C31">
        <f>C30</f>
        <v>108.15</v>
      </c>
      <c r="D31">
        <f>D30*-1</f>
        <v>-7.0750000000000002</v>
      </c>
      <c r="E31">
        <v>0</v>
      </c>
      <c r="I31">
        <v>150</v>
      </c>
      <c r="J31">
        <v>0</v>
      </c>
      <c r="K31">
        <f>K30</f>
        <v>92.06</v>
      </c>
      <c r="M31" s="1" t="s">
        <v>247</v>
      </c>
      <c r="O31">
        <v>1334.6032000000002</v>
      </c>
      <c r="Q31">
        <v>2.7000000000000001E-3</v>
      </c>
    </row>
    <row r="32" spans="1:17" x14ac:dyDescent="0.3">
      <c r="A32">
        <f t="shared" si="0"/>
        <v>76</v>
      </c>
      <c r="C32">
        <f>Frames!B19</f>
        <v>115.15</v>
      </c>
      <c r="D32">
        <f>$U$3</f>
        <v>7.0750000000000002</v>
      </c>
      <c r="E32">
        <v>0</v>
      </c>
      <c r="G32">
        <f>G30+1</f>
        <v>133</v>
      </c>
      <c r="I32">
        <v>150</v>
      </c>
      <c r="J32">
        <v>0</v>
      </c>
      <c r="K32">
        <v>88.632999999999996</v>
      </c>
      <c r="M32" s="1" t="s">
        <v>248</v>
      </c>
      <c r="O32">
        <v>889.21280000000013</v>
      </c>
      <c r="Q32">
        <v>2.7000000000000001E-3</v>
      </c>
    </row>
    <row r="33" spans="1:17" x14ac:dyDescent="0.3">
      <c r="A33">
        <f t="shared" si="0"/>
        <v>77</v>
      </c>
      <c r="C33">
        <f>C32</f>
        <v>115.15</v>
      </c>
      <c r="D33">
        <f>D32*-1</f>
        <v>-7.0750000000000002</v>
      </c>
      <c r="E33">
        <v>0</v>
      </c>
      <c r="I33">
        <v>150</v>
      </c>
      <c r="J33">
        <v>0</v>
      </c>
      <c r="K33">
        <f>K32</f>
        <v>88.632999999999996</v>
      </c>
      <c r="M33" s="1" t="s">
        <v>249</v>
      </c>
      <c r="O33">
        <v>1214.5286999999998</v>
      </c>
      <c r="Q33">
        <v>2.2499999999999998E-3</v>
      </c>
    </row>
    <row r="34" spans="1:17" x14ac:dyDescent="0.3">
      <c r="A34">
        <f t="shared" si="0"/>
        <v>78</v>
      </c>
      <c r="C34">
        <f>Frames!B20</f>
        <v>122.15</v>
      </c>
      <c r="D34">
        <f>$U$3</f>
        <v>7.0750000000000002</v>
      </c>
      <c r="E34">
        <v>0</v>
      </c>
      <c r="G34">
        <f>G32+1</f>
        <v>134</v>
      </c>
      <c r="I34">
        <v>150</v>
      </c>
      <c r="J34">
        <v>0</v>
      </c>
      <c r="K34">
        <v>85.382000000000005</v>
      </c>
      <c r="M34" s="1" t="s">
        <v>250</v>
      </c>
      <c r="O34">
        <v>822.7835</v>
      </c>
      <c r="Q34">
        <v>2.0999999999999999E-3</v>
      </c>
    </row>
    <row r="35" spans="1:17" x14ac:dyDescent="0.3">
      <c r="A35">
        <f t="shared" si="0"/>
        <v>79</v>
      </c>
      <c r="C35">
        <f>C34</f>
        <v>122.15</v>
      </c>
      <c r="D35">
        <f>D34*-1</f>
        <v>-7.0750000000000002</v>
      </c>
      <c r="E35">
        <v>0</v>
      </c>
      <c r="I35">
        <v>150</v>
      </c>
      <c r="J35">
        <v>0</v>
      </c>
      <c r="K35">
        <f>K34</f>
        <v>85.382000000000005</v>
      </c>
      <c r="M35" s="1" t="s">
        <v>251</v>
      </c>
      <c r="O35">
        <v>937.88940000000014</v>
      </c>
      <c r="Q35">
        <v>1.5E-3</v>
      </c>
    </row>
    <row r="36" spans="1:17" x14ac:dyDescent="0.3">
      <c r="A36">
        <f t="shared" si="0"/>
        <v>80</v>
      </c>
      <c r="C36">
        <f>Frames!B21</f>
        <v>129.15</v>
      </c>
      <c r="D36">
        <f>$U$3</f>
        <v>7.0750000000000002</v>
      </c>
      <c r="E36">
        <v>0</v>
      </c>
      <c r="G36">
        <f>G34+1</f>
        <v>135</v>
      </c>
      <c r="I36">
        <v>150</v>
      </c>
      <c r="J36">
        <v>0</v>
      </c>
      <c r="K36">
        <v>79.394000000000005</v>
      </c>
      <c r="M36" s="1" t="s">
        <v>252</v>
      </c>
      <c r="O36">
        <v>838.53700000000003</v>
      </c>
      <c r="Q36">
        <v>1.5E-3</v>
      </c>
    </row>
    <row r="37" spans="1:17" x14ac:dyDescent="0.3">
      <c r="A37">
        <f t="shared" si="0"/>
        <v>81</v>
      </c>
      <c r="C37">
        <f>C36</f>
        <v>129.15</v>
      </c>
      <c r="D37">
        <f>D36*-1</f>
        <v>-7.0750000000000002</v>
      </c>
      <c r="E37">
        <v>0</v>
      </c>
      <c r="I37">
        <v>150</v>
      </c>
      <c r="J37">
        <v>0</v>
      </c>
      <c r="K37">
        <f>K36</f>
        <v>79.394000000000005</v>
      </c>
      <c r="M37" s="1" t="s">
        <v>253</v>
      </c>
      <c r="O37">
        <v>794.68200000000002</v>
      </c>
      <c r="Q37">
        <v>1.5E-3</v>
      </c>
    </row>
    <row r="38" spans="1:17" x14ac:dyDescent="0.3">
      <c r="A38">
        <f t="shared" si="0"/>
        <v>82</v>
      </c>
      <c r="C38">
        <v>169.35</v>
      </c>
      <c r="D38">
        <f>$U$3</f>
        <v>7.0750000000000002</v>
      </c>
      <c r="E38">
        <v>0</v>
      </c>
      <c r="G38">
        <f>G36+1</f>
        <v>136</v>
      </c>
      <c r="I38">
        <v>150</v>
      </c>
      <c r="J38">
        <v>0</v>
      </c>
      <c r="K38">
        <v>79.748550635000001</v>
      </c>
      <c r="M38" s="1" t="s">
        <v>254</v>
      </c>
      <c r="O38">
        <v>735.07350000000008</v>
      </c>
      <c r="Q38">
        <v>1.5E-3</v>
      </c>
    </row>
    <row r="39" spans="1:17" x14ac:dyDescent="0.3">
      <c r="A39">
        <f t="shared" si="0"/>
        <v>83</v>
      </c>
      <c r="C39">
        <f>C38</f>
        <v>169.35</v>
      </c>
      <c r="D39">
        <f>D38*-1</f>
        <v>-7.0750000000000002</v>
      </c>
      <c r="E39">
        <v>0</v>
      </c>
      <c r="I39">
        <v>150</v>
      </c>
      <c r="J39">
        <v>0</v>
      </c>
      <c r="K39">
        <f>K38</f>
        <v>79.748550635000001</v>
      </c>
      <c r="M39" s="1" t="s">
        <v>255</v>
      </c>
      <c r="O39">
        <v>794.90250000000003</v>
      </c>
      <c r="Q39">
        <v>1.5E-3</v>
      </c>
    </row>
    <row r="40" spans="1:17" x14ac:dyDescent="0.3">
      <c r="A40">
        <f t="shared" si="0"/>
        <v>84</v>
      </c>
      <c r="C40">
        <v>175.85</v>
      </c>
      <c r="D40">
        <f>$U$3</f>
        <v>7.0750000000000002</v>
      </c>
      <c r="E40">
        <v>0</v>
      </c>
      <c r="G40">
        <f>G38+1</f>
        <v>137</v>
      </c>
      <c r="I40">
        <v>150</v>
      </c>
      <c r="J40">
        <v>0</v>
      </c>
      <c r="K40">
        <v>86.086324569999988</v>
      </c>
      <c r="M40" s="1" t="s">
        <v>256</v>
      </c>
      <c r="O40">
        <v>645.74160000000006</v>
      </c>
      <c r="Q40">
        <v>1.65E-3</v>
      </c>
    </row>
    <row r="41" spans="1:17" x14ac:dyDescent="0.3">
      <c r="A41">
        <f t="shared" si="0"/>
        <v>85</v>
      </c>
      <c r="C41">
        <f>C40</f>
        <v>175.85</v>
      </c>
      <c r="D41">
        <f>D40*-1</f>
        <v>-7.0750000000000002</v>
      </c>
      <c r="E41">
        <v>0</v>
      </c>
      <c r="I41">
        <v>150</v>
      </c>
      <c r="J41">
        <v>0</v>
      </c>
      <c r="K41">
        <f>K40</f>
        <v>86.086324569999988</v>
      </c>
      <c r="M41" s="1" t="s">
        <v>257</v>
      </c>
      <c r="O41">
        <v>640.01840000000004</v>
      </c>
      <c r="Q41">
        <v>1.65E-3</v>
      </c>
    </row>
    <row r="42" spans="1:17" x14ac:dyDescent="0.3">
      <c r="A42">
        <f t="shared" si="0"/>
        <v>86</v>
      </c>
      <c r="C42">
        <v>182.35</v>
      </c>
      <c r="D42">
        <f>$U$3</f>
        <v>7.0750000000000002</v>
      </c>
      <c r="E42">
        <v>0</v>
      </c>
      <c r="G42">
        <f>G40+1</f>
        <v>138</v>
      </c>
      <c r="I42">
        <v>150</v>
      </c>
      <c r="J42">
        <v>0</v>
      </c>
      <c r="K42">
        <v>92.531273975000005</v>
      </c>
      <c r="M42" s="1" t="s">
        <v>258</v>
      </c>
      <c r="O42">
        <v>829.47199999999998</v>
      </c>
      <c r="Q42">
        <v>2.3999999999999998E-3</v>
      </c>
    </row>
    <row r="43" spans="1:17" x14ac:dyDescent="0.3">
      <c r="A43">
        <f t="shared" si="0"/>
        <v>87</v>
      </c>
      <c r="C43">
        <f>C42</f>
        <v>182.35</v>
      </c>
      <c r="D43">
        <f>D42*-1</f>
        <v>-7.0750000000000002</v>
      </c>
      <c r="E43">
        <v>0</v>
      </c>
      <c r="I43">
        <v>150</v>
      </c>
      <c r="J43">
        <v>0</v>
      </c>
      <c r="K43">
        <f>K42</f>
        <v>92.531273975000005</v>
      </c>
      <c r="M43" s="1" t="s">
        <v>259</v>
      </c>
      <c r="O43">
        <v>808.05900000000008</v>
      </c>
      <c r="Q43">
        <v>2.3999999999999998E-3</v>
      </c>
    </row>
    <row r="44" spans="1:17" x14ac:dyDescent="0.3">
      <c r="A44">
        <f t="shared" si="0"/>
        <v>88</v>
      </c>
      <c r="C44">
        <v>188.85</v>
      </c>
      <c r="D44">
        <f>$U$3</f>
        <v>7.0750000000000002</v>
      </c>
      <c r="E44">
        <v>0</v>
      </c>
      <c r="G44">
        <f>G42+1</f>
        <v>139</v>
      </c>
      <c r="I44">
        <v>150</v>
      </c>
      <c r="J44">
        <v>0</v>
      </c>
      <c r="K44">
        <v>94.394823529999996</v>
      </c>
      <c r="M44" s="1" t="s">
        <v>260</v>
      </c>
      <c r="O44">
        <v>896.99400000000014</v>
      </c>
      <c r="Q44">
        <v>2.3999999999999998E-3</v>
      </c>
    </row>
    <row r="45" spans="1:17" x14ac:dyDescent="0.3">
      <c r="A45">
        <f t="shared" si="0"/>
        <v>89</v>
      </c>
      <c r="C45">
        <f>C44</f>
        <v>188.85</v>
      </c>
      <c r="D45">
        <f>D44*-1</f>
        <v>-7.0750000000000002</v>
      </c>
      <c r="E45">
        <v>0</v>
      </c>
      <c r="I45">
        <v>150</v>
      </c>
      <c r="J45">
        <v>0</v>
      </c>
      <c r="K45">
        <f>K44</f>
        <v>94.394823529999996</v>
      </c>
      <c r="M45" s="1" t="s">
        <v>261</v>
      </c>
      <c r="O45">
        <v>914.98680000000013</v>
      </c>
      <c r="Q45">
        <v>2.3999999999999998E-3</v>
      </c>
    </row>
    <row r="46" spans="1:17" x14ac:dyDescent="0.3">
      <c r="A46">
        <f t="shared" si="0"/>
        <v>90</v>
      </c>
      <c r="C46">
        <v>195.35</v>
      </c>
      <c r="D46">
        <f>$U$3</f>
        <v>7.0750000000000002</v>
      </c>
      <c r="E46">
        <v>0</v>
      </c>
      <c r="G46">
        <f>G44+1</f>
        <v>140</v>
      </c>
      <c r="I46">
        <v>150</v>
      </c>
      <c r="J46">
        <v>0</v>
      </c>
      <c r="K46">
        <v>96.894162319999992</v>
      </c>
      <c r="M46" s="1" t="s">
        <v>262</v>
      </c>
      <c r="O46">
        <v>869.29919999999993</v>
      </c>
      <c r="Q46">
        <v>2.3999999999999998E-3</v>
      </c>
    </row>
    <row r="47" spans="1:17" x14ac:dyDescent="0.3">
      <c r="A47">
        <f t="shared" si="0"/>
        <v>91</v>
      </c>
      <c r="C47">
        <f>C46</f>
        <v>195.35</v>
      </c>
      <c r="D47">
        <f>D46*-1</f>
        <v>-7.0750000000000002</v>
      </c>
      <c r="E47">
        <v>0</v>
      </c>
      <c r="I47">
        <v>150</v>
      </c>
      <c r="J47">
        <v>0</v>
      </c>
      <c r="K47">
        <f>K46</f>
        <v>96.894162319999992</v>
      </c>
      <c r="M47" s="1" t="s">
        <v>263</v>
      </c>
      <c r="O47">
        <v>1033.0866000000001</v>
      </c>
      <c r="Q47">
        <v>2.3999999999999998E-3</v>
      </c>
    </row>
    <row r="48" spans="1:17" x14ac:dyDescent="0.3">
      <c r="A48">
        <f t="shared" si="0"/>
        <v>92</v>
      </c>
      <c r="C48">
        <v>201.85</v>
      </c>
      <c r="D48">
        <f>$U$3</f>
        <v>7.0750000000000002</v>
      </c>
      <c r="E48">
        <v>0</v>
      </c>
      <c r="G48">
        <f>G46+1</f>
        <v>141</v>
      </c>
      <c r="I48">
        <v>150</v>
      </c>
      <c r="J48">
        <v>0</v>
      </c>
      <c r="K48">
        <v>99.040959264999998</v>
      </c>
      <c r="M48" s="1" t="s">
        <v>264</v>
      </c>
      <c r="O48">
        <v>943.50480000000005</v>
      </c>
      <c r="Q48">
        <v>2.3999999999999998E-3</v>
      </c>
    </row>
    <row r="49" spans="1:17" x14ac:dyDescent="0.3">
      <c r="A49">
        <f t="shared" si="0"/>
        <v>93</v>
      </c>
      <c r="C49">
        <f>C48</f>
        <v>201.85</v>
      </c>
      <c r="D49">
        <f>D48*-1</f>
        <v>-7.0750000000000002</v>
      </c>
      <c r="E49">
        <v>0</v>
      </c>
      <c r="I49">
        <v>150</v>
      </c>
      <c r="J49">
        <v>0</v>
      </c>
      <c r="K49">
        <f>K48</f>
        <v>99.040959264999998</v>
      </c>
      <c r="M49" s="1" t="s">
        <v>265</v>
      </c>
      <c r="O49">
        <v>883.70519999999988</v>
      </c>
      <c r="Q49">
        <v>2.3999999999999998E-3</v>
      </c>
    </row>
    <row r="50" spans="1:17" x14ac:dyDescent="0.3">
      <c r="A50">
        <f t="shared" si="0"/>
        <v>94</v>
      </c>
      <c r="C50">
        <v>208.35</v>
      </c>
      <c r="D50">
        <f>$U$3</f>
        <v>7.0750000000000002</v>
      </c>
      <c r="E50">
        <v>0</v>
      </c>
      <c r="G50">
        <f>G48+1</f>
        <v>142</v>
      </c>
      <c r="I50">
        <v>150</v>
      </c>
      <c r="J50">
        <v>0</v>
      </c>
      <c r="K50">
        <v>100.82659212499999</v>
      </c>
      <c r="M50" s="1" t="s">
        <v>266</v>
      </c>
      <c r="O50">
        <v>973.30170000000021</v>
      </c>
      <c r="Q50">
        <v>2.8500000000000001E-3</v>
      </c>
    </row>
    <row r="51" spans="1:17" x14ac:dyDescent="0.3">
      <c r="A51">
        <f t="shared" si="0"/>
        <v>95</v>
      </c>
      <c r="C51">
        <f>C50</f>
        <v>208.35</v>
      </c>
      <c r="D51">
        <f>D50*-1</f>
        <v>-7.0750000000000002</v>
      </c>
      <c r="E51">
        <v>0</v>
      </c>
      <c r="I51">
        <v>150</v>
      </c>
      <c r="J51">
        <v>0</v>
      </c>
      <c r="K51">
        <f>K50</f>
        <v>100.82659212499999</v>
      </c>
      <c r="M51" s="1" t="s">
        <v>267</v>
      </c>
      <c r="O51">
        <v>1138.4268000000002</v>
      </c>
      <c r="Q51">
        <v>2.5500000000000002E-3</v>
      </c>
    </row>
    <row r="52" spans="1:17" x14ac:dyDescent="0.3">
      <c r="A52">
        <f t="shared" si="0"/>
        <v>96</v>
      </c>
      <c r="C52">
        <v>214.85</v>
      </c>
      <c r="D52">
        <f>$U$3</f>
        <v>7.0750000000000002</v>
      </c>
      <c r="E52">
        <v>0</v>
      </c>
      <c r="G52">
        <f>G50+1</f>
        <v>143</v>
      </c>
      <c r="I52">
        <v>150</v>
      </c>
      <c r="J52">
        <v>0</v>
      </c>
      <c r="K52">
        <v>102.83499388499999</v>
      </c>
      <c r="M52" s="1" t="s">
        <v>268</v>
      </c>
      <c r="O52">
        <v>1116.8717000000001</v>
      </c>
      <c r="Q52">
        <v>3.0000000000000001E-3</v>
      </c>
    </row>
    <row r="53" spans="1:17" x14ac:dyDescent="0.3">
      <c r="A53">
        <f t="shared" si="0"/>
        <v>97</v>
      </c>
      <c r="C53">
        <f>C52</f>
        <v>214.85</v>
      </c>
      <c r="D53">
        <f>D52*-1</f>
        <v>-7.0750000000000002</v>
      </c>
      <c r="E53">
        <v>0</v>
      </c>
      <c r="I53">
        <v>150</v>
      </c>
      <c r="J53">
        <v>0</v>
      </c>
      <c r="K53">
        <f>K52</f>
        <v>102.83499388499999</v>
      </c>
      <c r="M53" s="1" t="s">
        <v>269</v>
      </c>
      <c r="O53">
        <v>1156.4784000000002</v>
      </c>
      <c r="Q53">
        <v>2.7000000000000001E-3</v>
      </c>
    </row>
    <row r="54" spans="1:17" x14ac:dyDescent="0.3">
      <c r="A54">
        <f t="shared" si="0"/>
        <v>98</v>
      </c>
      <c r="C54">
        <v>221.35</v>
      </c>
      <c r="D54">
        <f>$U$3</f>
        <v>7.0750000000000002</v>
      </c>
      <c r="E54">
        <v>0</v>
      </c>
      <c r="G54">
        <f>G52+1</f>
        <v>144</v>
      </c>
      <c r="I54">
        <v>150</v>
      </c>
      <c r="J54">
        <v>0</v>
      </c>
      <c r="K54">
        <v>104.14483645</v>
      </c>
      <c r="M54" s="1" t="s">
        <v>270</v>
      </c>
      <c r="O54">
        <v>1205.8508000000002</v>
      </c>
      <c r="Q54">
        <v>3.15E-3</v>
      </c>
    </row>
    <row r="55" spans="1:17" x14ac:dyDescent="0.3">
      <c r="A55">
        <f t="shared" si="0"/>
        <v>99</v>
      </c>
      <c r="C55">
        <f>C54</f>
        <v>221.35</v>
      </c>
      <c r="D55">
        <f>D54*-1</f>
        <v>-7.0750000000000002</v>
      </c>
      <c r="E55">
        <v>0</v>
      </c>
      <c r="I55">
        <v>150</v>
      </c>
      <c r="J55">
        <v>0</v>
      </c>
      <c r="K55">
        <f>K54</f>
        <v>104.14483645</v>
      </c>
      <c r="M55" s="1" t="s">
        <v>271</v>
      </c>
      <c r="O55">
        <v>1318.5900000000001</v>
      </c>
      <c r="Q55">
        <v>2.7000000000000001E-3</v>
      </c>
    </row>
    <row r="56" spans="1:17" x14ac:dyDescent="0.3">
      <c r="A56">
        <f t="shared" si="0"/>
        <v>100</v>
      </c>
      <c r="C56">
        <v>227.85</v>
      </c>
      <c r="D56">
        <f>$U$3</f>
        <v>7.0750000000000002</v>
      </c>
      <c r="E56">
        <v>0</v>
      </c>
      <c r="G56">
        <f>G54+1</f>
        <v>145</v>
      </c>
      <c r="I56">
        <v>150</v>
      </c>
      <c r="J56">
        <v>0</v>
      </c>
      <c r="K56">
        <v>105.99331755</v>
      </c>
      <c r="M56" s="1" t="s">
        <v>272</v>
      </c>
      <c r="O56">
        <v>1341.6200000000001</v>
      </c>
      <c r="Q56">
        <v>3.15E-3</v>
      </c>
    </row>
    <row r="57" spans="1:17" x14ac:dyDescent="0.3">
      <c r="A57">
        <f t="shared" si="0"/>
        <v>101</v>
      </c>
      <c r="C57">
        <f>C56</f>
        <v>227.85</v>
      </c>
      <c r="D57">
        <f>D56*-1</f>
        <v>-7.0750000000000002</v>
      </c>
      <c r="E57">
        <v>0</v>
      </c>
      <c r="I57">
        <v>150</v>
      </c>
      <c r="J57">
        <v>0</v>
      </c>
      <c r="K57">
        <f>K56</f>
        <v>105.99331755</v>
      </c>
      <c r="M57" s="1" t="s">
        <v>273</v>
      </c>
      <c r="O57">
        <v>1405.6042000000002</v>
      </c>
      <c r="Q57">
        <v>2.7000000000000001E-3</v>
      </c>
    </row>
    <row r="58" spans="1:17" x14ac:dyDescent="0.3">
      <c r="A58">
        <f t="shared" si="0"/>
        <v>102</v>
      </c>
      <c r="C58">
        <v>234.35</v>
      </c>
      <c r="D58">
        <f>$U$3</f>
        <v>7.0750000000000002</v>
      </c>
      <c r="E58">
        <v>0</v>
      </c>
      <c r="G58">
        <f>G56+1</f>
        <v>146</v>
      </c>
      <c r="I58">
        <v>150</v>
      </c>
      <c r="J58">
        <v>0</v>
      </c>
      <c r="K58">
        <v>107.50225556000001</v>
      </c>
      <c r="M58" s="1" t="s">
        <v>274</v>
      </c>
      <c r="O58">
        <v>1343.4036000000001</v>
      </c>
      <c r="Q58">
        <v>3.15E-3</v>
      </c>
    </row>
    <row r="59" spans="1:17" x14ac:dyDescent="0.3">
      <c r="A59">
        <f t="shared" si="0"/>
        <v>103</v>
      </c>
      <c r="C59">
        <f>C58</f>
        <v>234.35</v>
      </c>
      <c r="D59">
        <f>D58*-1</f>
        <v>-7.0750000000000002</v>
      </c>
      <c r="E59">
        <v>0</v>
      </c>
      <c r="I59">
        <v>150</v>
      </c>
      <c r="J59">
        <v>0</v>
      </c>
      <c r="K59">
        <f>K58</f>
        <v>107.50225556000001</v>
      </c>
      <c r="M59" s="1" t="s">
        <v>275</v>
      </c>
      <c r="O59">
        <v>1418.7851999999998</v>
      </c>
      <c r="Q59">
        <v>2.7000000000000001E-3</v>
      </c>
    </row>
    <row r="60" spans="1:17" x14ac:dyDescent="0.3">
      <c r="A60">
        <f t="shared" si="0"/>
        <v>104</v>
      </c>
      <c r="C60">
        <v>240.85</v>
      </c>
      <c r="D60">
        <f>$U$3</f>
        <v>7.0750000000000002</v>
      </c>
      <c r="E60">
        <v>0</v>
      </c>
      <c r="G60">
        <f>G58+1</f>
        <v>147</v>
      </c>
      <c r="I60">
        <v>150</v>
      </c>
      <c r="J60">
        <v>0</v>
      </c>
      <c r="K60">
        <v>108.677075225</v>
      </c>
      <c r="M60" s="1" t="s">
        <v>276</v>
      </c>
      <c r="O60">
        <v>1428.1540000000002</v>
      </c>
      <c r="Q60">
        <v>3.15E-3</v>
      </c>
    </row>
    <row r="61" spans="1:17" x14ac:dyDescent="0.3">
      <c r="A61">
        <f t="shared" si="0"/>
        <v>105</v>
      </c>
      <c r="C61">
        <f>C60</f>
        <v>240.85</v>
      </c>
      <c r="D61">
        <f>D60*-1</f>
        <v>-7.0750000000000002</v>
      </c>
      <c r="E61">
        <v>0</v>
      </c>
      <c r="I61">
        <v>150</v>
      </c>
      <c r="J61">
        <v>0</v>
      </c>
      <c r="K61">
        <f>K60</f>
        <v>108.677075225</v>
      </c>
      <c r="M61" s="1" t="s">
        <v>277</v>
      </c>
      <c r="O61">
        <v>1530.5640000000001</v>
      </c>
      <c r="Q61">
        <v>2.7000000000000001E-3</v>
      </c>
    </row>
    <row r="62" spans="1:17" x14ac:dyDescent="0.3">
      <c r="A62">
        <f t="shared" si="0"/>
        <v>106</v>
      </c>
      <c r="C62">
        <v>247.35</v>
      </c>
      <c r="D62">
        <f>$U$3</f>
        <v>7.0750000000000002</v>
      </c>
      <c r="E62">
        <v>0</v>
      </c>
      <c r="G62">
        <f>G60+1</f>
        <v>148</v>
      </c>
      <c r="I62">
        <v>150</v>
      </c>
      <c r="J62">
        <v>0</v>
      </c>
      <c r="K62">
        <v>110.013667505</v>
      </c>
      <c r="M62" s="1" t="s">
        <v>278</v>
      </c>
      <c r="O62">
        <v>1415.3013000000001</v>
      </c>
      <c r="Q62">
        <v>3.15E-3</v>
      </c>
    </row>
    <row r="63" spans="1:17" x14ac:dyDescent="0.3">
      <c r="A63">
        <f t="shared" si="0"/>
        <v>107</v>
      </c>
      <c r="C63">
        <f>C62</f>
        <v>247.35</v>
      </c>
      <c r="D63">
        <f>D62*-1</f>
        <v>-7.0750000000000002</v>
      </c>
      <c r="E63">
        <v>0</v>
      </c>
      <c r="I63">
        <v>150</v>
      </c>
      <c r="J63">
        <v>0</v>
      </c>
      <c r="K63">
        <f>K62</f>
        <v>110.013667505</v>
      </c>
      <c r="M63" s="1" t="s">
        <v>279</v>
      </c>
      <c r="O63">
        <v>1511.7725</v>
      </c>
      <c r="Q63">
        <v>2.7000000000000001E-3</v>
      </c>
    </row>
    <row r="64" spans="1:17" x14ac:dyDescent="0.3">
      <c r="A64">
        <f t="shared" si="0"/>
        <v>108</v>
      </c>
      <c r="C64">
        <v>253.85</v>
      </c>
      <c r="D64">
        <f>$U$3</f>
        <v>7.0750000000000002</v>
      </c>
      <c r="E64">
        <v>0</v>
      </c>
      <c r="G64">
        <f>G62+1</f>
        <v>149</v>
      </c>
      <c r="I64">
        <v>150</v>
      </c>
      <c r="J64">
        <v>0</v>
      </c>
      <c r="K64">
        <v>111.54309485499999</v>
      </c>
      <c r="M64" s="1" t="s">
        <v>280</v>
      </c>
      <c r="O64">
        <v>1378.4337000000003</v>
      </c>
      <c r="Q64">
        <v>3.15E-3</v>
      </c>
    </row>
    <row r="65" spans="1:17" x14ac:dyDescent="0.3">
      <c r="A65">
        <f t="shared" si="0"/>
        <v>109</v>
      </c>
      <c r="C65">
        <f>C64</f>
        <v>253.85</v>
      </c>
      <c r="D65">
        <f>D64*-1</f>
        <v>-7.0750000000000002</v>
      </c>
      <c r="E65">
        <v>0</v>
      </c>
      <c r="I65">
        <v>150</v>
      </c>
      <c r="J65">
        <v>0</v>
      </c>
      <c r="K65">
        <f>K64</f>
        <v>111.54309485499999</v>
      </c>
      <c r="M65" s="1" t="s">
        <v>281</v>
      </c>
      <c r="O65">
        <v>1438.5420000000001</v>
      </c>
      <c r="Q65">
        <v>2.7000000000000001E-3</v>
      </c>
    </row>
    <row r="66" spans="1:17" x14ac:dyDescent="0.3">
      <c r="A66">
        <f t="shared" si="0"/>
        <v>110</v>
      </c>
      <c r="C66">
        <v>260.35000000000002</v>
      </c>
      <c r="D66">
        <f>$U$3</f>
        <v>7.0750000000000002</v>
      </c>
      <c r="E66">
        <v>0</v>
      </c>
      <c r="G66">
        <f>G64+1</f>
        <v>150</v>
      </c>
      <c r="I66">
        <v>150</v>
      </c>
      <c r="J66">
        <v>0</v>
      </c>
      <c r="K66">
        <v>113.16409542</v>
      </c>
      <c r="M66" s="1" t="s">
        <v>282</v>
      </c>
      <c r="O66">
        <v>1254.5273999999999</v>
      </c>
      <c r="Q66">
        <v>3.15E-3</v>
      </c>
    </row>
    <row r="67" spans="1:17" x14ac:dyDescent="0.3">
      <c r="A67">
        <f t="shared" si="0"/>
        <v>111</v>
      </c>
      <c r="C67">
        <f>C66</f>
        <v>260.35000000000002</v>
      </c>
      <c r="D67">
        <f>D66*-1</f>
        <v>-7.0750000000000002</v>
      </c>
      <c r="E67">
        <v>0</v>
      </c>
      <c r="I67">
        <v>150</v>
      </c>
      <c r="J67">
        <v>0</v>
      </c>
      <c r="K67">
        <f>K66</f>
        <v>113.16409542</v>
      </c>
      <c r="M67" s="1" t="s">
        <v>283</v>
      </c>
      <c r="O67">
        <v>1358.8974000000001</v>
      </c>
      <c r="Q67">
        <v>2.7000000000000001E-3</v>
      </c>
    </row>
    <row r="68" spans="1:17" x14ac:dyDescent="0.3">
      <c r="A68">
        <f t="shared" ref="A68:A73" si="1">A67+1</f>
        <v>112</v>
      </c>
      <c r="C68">
        <v>266.85000000000002</v>
      </c>
      <c r="D68">
        <f>$U$3</f>
        <v>7.0750000000000002</v>
      </c>
      <c r="E68">
        <v>0</v>
      </c>
      <c r="G68">
        <f>G66+1</f>
        <v>151</v>
      </c>
      <c r="I68">
        <v>150</v>
      </c>
      <c r="J68">
        <v>0</v>
      </c>
      <c r="K68">
        <v>114.57434714999999</v>
      </c>
      <c r="M68" s="1" t="s">
        <v>284</v>
      </c>
      <c r="O68">
        <v>1264.0236000000002</v>
      </c>
      <c r="Q68">
        <v>3.15E-3</v>
      </c>
    </row>
    <row r="69" spans="1:17" x14ac:dyDescent="0.3">
      <c r="A69">
        <f t="shared" si="1"/>
        <v>113</v>
      </c>
      <c r="C69">
        <f>C68</f>
        <v>266.85000000000002</v>
      </c>
      <c r="D69">
        <f>D68*-1</f>
        <v>-7.0750000000000002</v>
      </c>
      <c r="E69">
        <v>0</v>
      </c>
      <c r="I69">
        <v>150</v>
      </c>
      <c r="J69">
        <v>0</v>
      </c>
      <c r="K69">
        <f>K68</f>
        <v>114.57434714999999</v>
      </c>
      <c r="M69" s="1" t="s">
        <v>285</v>
      </c>
      <c r="O69">
        <v>1326.9984000000002</v>
      </c>
      <c r="Q69">
        <v>3.15E-3</v>
      </c>
    </row>
    <row r="70" spans="1:17" x14ac:dyDescent="0.3">
      <c r="A70">
        <f t="shared" si="1"/>
        <v>114</v>
      </c>
      <c r="C70">
        <v>273.35000000000002</v>
      </c>
      <c r="D70">
        <f>$U$3</f>
        <v>7.0750000000000002</v>
      </c>
      <c r="E70">
        <v>0</v>
      </c>
      <c r="G70">
        <f>G68+1</f>
        <v>152</v>
      </c>
      <c r="I70">
        <v>150</v>
      </c>
      <c r="J70">
        <v>0</v>
      </c>
      <c r="K70">
        <v>115.538372615</v>
      </c>
      <c r="M70" s="1" t="s">
        <v>286</v>
      </c>
      <c r="O70">
        <v>957.26400000000001</v>
      </c>
      <c r="Q70">
        <v>3.15E-3</v>
      </c>
    </row>
    <row r="71" spans="1:17" x14ac:dyDescent="0.3">
      <c r="A71">
        <f t="shared" si="1"/>
        <v>115</v>
      </c>
      <c r="C71">
        <f>C70</f>
        <v>273.35000000000002</v>
      </c>
      <c r="D71">
        <f>D70*-1</f>
        <v>-7.0750000000000002</v>
      </c>
      <c r="E71">
        <v>0</v>
      </c>
      <c r="I71">
        <v>150</v>
      </c>
      <c r="J71">
        <v>0</v>
      </c>
      <c r="K71">
        <f>K70</f>
        <v>115.538372615</v>
      </c>
      <c r="M71" s="1" t="s">
        <v>287</v>
      </c>
      <c r="O71">
        <v>984.21399999999994</v>
      </c>
      <c r="Q71">
        <v>3.15E-3</v>
      </c>
    </row>
    <row r="72" spans="1:17" x14ac:dyDescent="0.3">
      <c r="A72">
        <f t="shared" si="1"/>
        <v>116</v>
      </c>
      <c r="C72">
        <v>279.85000000000002</v>
      </c>
      <c r="D72">
        <f>$U$3</f>
        <v>7.0750000000000002</v>
      </c>
      <c r="E72">
        <v>0</v>
      </c>
      <c r="G72">
        <f>G70+1</f>
        <v>153</v>
      </c>
      <c r="I72">
        <v>150</v>
      </c>
      <c r="J72">
        <v>0</v>
      </c>
      <c r="K72">
        <v>117.01064016999999</v>
      </c>
      <c r="M72" s="1" t="s">
        <v>288</v>
      </c>
      <c r="O72">
        <v>1100.2460000000001</v>
      </c>
      <c r="Q72">
        <v>3.5999999999999999E-3</v>
      </c>
    </row>
    <row r="73" spans="1:17" x14ac:dyDescent="0.3">
      <c r="A73">
        <f t="shared" si="1"/>
        <v>117</v>
      </c>
      <c r="C73">
        <f>C72</f>
        <v>279.85000000000002</v>
      </c>
      <c r="D73">
        <f>D72*-1</f>
        <v>-7.0750000000000002</v>
      </c>
      <c r="E73">
        <v>0</v>
      </c>
      <c r="I73">
        <v>150</v>
      </c>
      <c r="J73">
        <v>0</v>
      </c>
      <c r="K73">
        <f>K72</f>
        <v>117.01064016999999</v>
      </c>
      <c r="M73" s="1" t="s">
        <v>289</v>
      </c>
      <c r="O73">
        <v>1073.1000000000001</v>
      </c>
      <c r="Q73">
        <v>3.7499999999999999E-3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96AE3-6180-4FF1-85C0-274A5C4D18AC}">
  <sheetPr codeName="Sheet4"/>
  <dimension ref="A1:R28"/>
  <sheetViews>
    <sheetView zoomScale="85" zoomScaleNormal="85" workbookViewId="0">
      <selection activeCell="N8" sqref="N8"/>
    </sheetView>
  </sheetViews>
  <sheetFormatPr defaultRowHeight="14.4" x14ac:dyDescent="0.3"/>
  <cols>
    <col min="1" max="1" width="17.21875" bestFit="1" customWidth="1"/>
    <col min="2" max="2" width="14" customWidth="1"/>
    <col min="3" max="3" width="11.21875" bestFit="1" customWidth="1"/>
    <col min="4" max="4" width="10.33203125" style="1" bestFit="1" customWidth="1"/>
    <col min="6" max="6" width="22.33203125" customWidth="1"/>
    <col min="10" max="10" width="19.44140625" bestFit="1" customWidth="1"/>
    <col min="12" max="12" width="18.5546875" customWidth="1"/>
    <col min="13" max="13" width="18.77734375" bestFit="1" customWidth="1"/>
    <col min="14" max="14" width="12.21875" customWidth="1"/>
    <col min="16" max="16" width="17.77734375" customWidth="1"/>
    <col min="17" max="17" width="13.44140625" customWidth="1"/>
  </cols>
  <sheetData>
    <row r="1" spans="1:18" x14ac:dyDescent="0.3">
      <c r="A1" s="3" t="s">
        <v>82</v>
      </c>
      <c r="B1" s="3"/>
      <c r="C1" s="3"/>
      <c r="D1" s="10"/>
      <c r="E1" s="3"/>
      <c r="F1" s="3" t="s">
        <v>49</v>
      </c>
      <c r="G1" s="12" t="s">
        <v>110</v>
      </c>
      <c r="H1" s="12"/>
      <c r="I1" s="12"/>
      <c r="J1" s="3" t="s">
        <v>103</v>
      </c>
      <c r="K1" s="13">
        <f>COUNT(A3:A9)</f>
        <v>7</v>
      </c>
      <c r="M1" s="20" t="s">
        <v>115</v>
      </c>
      <c r="N1" s="20"/>
      <c r="O1" s="20"/>
      <c r="P1" s="3" t="s">
        <v>113</v>
      </c>
      <c r="Q1" s="3"/>
      <c r="R1" s="13">
        <v>1</v>
      </c>
    </row>
    <row r="2" spans="1:18" x14ac:dyDescent="0.3">
      <c r="A2" t="s">
        <v>83</v>
      </c>
      <c r="B2" t="s">
        <v>99</v>
      </c>
      <c r="C2" t="s">
        <v>100</v>
      </c>
      <c r="D2" s="1" t="s">
        <v>102</v>
      </c>
      <c r="E2" t="s">
        <v>104</v>
      </c>
      <c r="F2" t="s">
        <v>106</v>
      </c>
      <c r="G2" t="s">
        <v>112</v>
      </c>
      <c r="M2" t="s">
        <v>116</v>
      </c>
      <c r="N2" t="s">
        <v>117</v>
      </c>
      <c r="O2" t="s">
        <v>118</v>
      </c>
      <c r="P2" t="s">
        <v>119</v>
      </c>
      <c r="Q2" t="s">
        <v>122</v>
      </c>
    </row>
    <row r="3" spans="1:18" x14ac:dyDescent="0.3">
      <c r="A3" s="1">
        <v>1</v>
      </c>
      <c r="B3" s="1" t="s">
        <v>78</v>
      </c>
      <c r="C3" s="1" t="s">
        <v>101</v>
      </c>
      <c r="D3" s="1">
        <v>0</v>
      </c>
      <c r="M3" t="s">
        <v>110</v>
      </c>
      <c r="N3">
        <v>0</v>
      </c>
      <c r="O3" t="b">
        <v>1</v>
      </c>
      <c r="P3" t="s">
        <v>123</v>
      </c>
      <c r="Q3" t="s">
        <v>124</v>
      </c>
    </row>
    <row r="4" spans="1:18" x14ac:dyDescent="0.3">
      <c r="A4" s="1">
        <v>4</v>
      </c>
      <c r="B4" s="1" t="s">
        <v>78</v>
      </c>
      <c r="C4" s="1" t="s">
        <v>101</v>
      </c>
      <c r="E4" t="s">
        <v>105</v>
      </c>
      <c r="F4" t="s">
        <v>25</v>
      </c>
      <c r="G4">
        <v>1</v>
      </c>
      <c r="M4" t="s">
        <v>84</v>
      </c>
      <c r="N4">
        <v>0</v>
      </c>
      <c r="O4" t="b">
        <v>1</v>
      </c>
      <c r="P4" t="s">
        <v>120</v>
      </c>
      <c r="Q4" t="s">
        <v>121</v>
      </c>
    </row>
    <row r="5" spans="1:18" x14ac:dyDescent="0.3">
      <c r="A5" s="1">
        <v>4</v>
      </c>
      <c r="B5" s="1" t="s">
        <v>78</v>
      </c>
      <c r="C5" s="1" t="s">
        <v>101</v>
      </c>
      <c r="E5" t="s">
        <v>105</v>
      </c>
      <c r="F5" t="s">
        <v>107</v>
      </c>
      <c r="G5">
        <v>1</v>
      </c>
      <c r="M5" t="s">
        <v>114</v>
      </c>
      <c r="N5">
        <v>0</v>
      </c>
      <c r="O5" t="b">
        <v>1</v>
      </c>
      <c r="P5" t="s">
        <v>126</v>
      </c>
      <c r="Q5" t="s">
        <v>125</v>
      </c>
    </row>
    <row r="6" spans="1:18" x14ac:dyDescent="0.3">
      <c r="A6" s="1">
        <v>4</v>
      </c>
      <c r="B6" s="1" t="s">
        <v>78</v>
      </c>
      <c r="C6" s="1" t="s">
        <v>101</v>
      </c>
      <c r="E6" t="s">
        <v>105</v>
      </c>
      <c r="F6" t="s">
        <v>31</v>
      </c>
      <c r="G6">
        <v>1</v>
      </c>
    </row>
    <row r="7" spans="1:18" x14ac:dyDescent="0.3">
      <c r="A7" s="1">
        <v>4</v>
      </c>
      <c r="B7" s="1" t="s">
        <v>78</v>
      </c>
      <c r="C7" s="1" t="s">
        <v>101</v>
      </c>
      <c r="E7" t="s">
        <v>105</v>
      </c>
      <c r="F7" t="s">
        <v>108</v>
      </c>
      <c r="G7">
        <v>1</v>
      </c>
    </row>
    <row r="8" spans="1:18" x14ac:dyDescent="0.3">
      <c r="A8" s="1">
        <v>4</v>
      </c>
      <c r="B8" s="1" t="s">
        <v>78</v>
      </c>
      <c r="C8" s="1" t="s">
        <v>101</v>
      </c>
      <c r="E8" t="s">
        <v>105</v>
      </c>
      <c r="F8" t="s">
        <v>109</v>
      </c>
      <c r="G8">
        <v>1</v>
      </c>
    </row>
    <row r="9" spans="1:18" x14ac:dyDescent="0.3">
      <c r="A9" s="1">
        <v>4</v>
      </c>
      <c r="B9" s="1" t="s">
        <v>78</v>
      </c>
      <c r="C9" s="1" t="s">
        <v>101</v>
      </c>
      <c r="E9" t="s">
        <v>105</v>
      </c>
      <c r="F9" s="4" t="s">
        <v>111</v>
      </c>
      <c r="G9">
        <v>1</v>
      </c>
    </row>
    <row r="11" spans="1:18" x14ac:dyDescent="0.3">
      <c r="A11" s="3" t="s">
        <v>82</v>
      </c>
      <c r="B11" s="3"/>
      <c r="C11" s="3"/>
      <c r="D11" s="10"/>
      <c r="E11" s="3"/>
      <c r="F11" s="3" t="s">
        <v>49</v>
      </c>
      <c r="G11" s="12" t="s">
        <v>84</v>
      </c>
      <c r="H11" s="12"/>
      <c r="I11" s="12"/>
      <c r="J11" s="3" t="s">
        <v>103</v>
      </c>
      <c r="K11" s="13">
        <f>COUNT(A13:A18)</f>
        <v>6</v>
      </c>
    </row>
    <row r="12" spans="1:18" x14ac:dyDescent="0.3">
      <c r="A12" t="s">
        <v>83</v>
      </c>
      <c r="B12" t="s">
        <v>99</v>
      </c>
      <c r="C12" t="s">
        <v>100</v>
      </c>
      <c r="D12" s="1" t="s">
        <v>102</v>
      </c>
      <c r="E12" t="s">
        <v>104</v>
      </c>
      <c r="F12" t="s">
        <v>106</v>
      </c>
      <c r="G12" t="s">
        <v>112</v>
      </c>
    </row>
    <row r="13" spans="1:18" x14ac:dyDescent="0.3">
      <c r="A13" s="1">
        <v>1</v>
      </c>
      <c r="B13" s="1" t="s">
        <v>78</v>
      </c>
      <c r="C13" s="1" t="s">
        <v>101</v>
      </c>
      <c r="D13" s="1">
        <v>0</v>
      </c>
    </row>
    <row r="14" spans="1:18" x14ac:dyDescent="0.3">
      <c r="A14" s="1">
        <v>4</v>
      </c>
      <c r="B14" s="1" t="s">
        <v>78</v>
      </c>
      <c r="C14" s="1" t="s">
        <v>101</v>
      </c>
      <c r="E14" t="s">
        <v>105</v>
      </c>
      <c r="F14" t="s">
        <v>25</v>
      </c>
      <c r="G14">
        <v>1</v>
      </c>
      <c r="M14" s="21" t="s">
        <v>93</v>
      </c>
      <c r="N14" s="22"/>
      <c r="O14" s="23"/>
      <c r="P14" s="16" t="s">
        <v>99</v>
      </c>
    </row>
    <row r="15" spans="1:18" x14ac:dyDescent="0.3">
      <c r="A15" s="1">
        <v>4</v>
      </c>
      <c r="B15" s="1" t="s">
        <v>78</v>
      </c>
      <c r="C15" s="1" t="s">
        <v>101</v>
      </c>
      <c r="E15" t="s">
        <v>105</v>
      </c>
      <c r="F15" t="s">
        <v>107</v>
      </c>
      <c r="G15">
        <v>1</v>
      </c>
      <c r="M15" s="6" t="s">
        <v>85</v>
      </c>
      <c r="N15" s="1"/>
      <c r="P15" s="14" t="s">
        <v>78</v>
      </c>
    </row>
    <row r="16" spans="1:18" x14ac:dyDescent="0.3">
      <c r="A16" s="1">
        <v>4</v>
      </c>
      <c r="B16" s="1" t="s">
        <v>78</v>
      </c>
      <c r="C16" s="1" t="s">
        <v>101</v>
      </c>
      <c r="E16" t="s">
        <v>105</v>
      </c>
      <c r="F16" t="s">
        <v>108</v>
      </c>
      <c r="G16">
        <v>1</v>
      </c>
      <c r="M16" s="6" t="s">
        <v>86</v>
      </c>
      <c r="N16" s="1"/>
      <c r="P16" s="14" t="s">
        <v>7</v>
      </c>
    </row>
    <row r="17" spans="1:16" x14ac:dyDescent="0.3">
      <c r="A17" s="1">
        <v>4</v>
      </c>
      <c r="B17" s="1" t="s">
        <v>78</v>
      </c>
      <c r="C17" s="1" t="s">
        <v>101</v>
      </c>
      <c r="E17" t="s">
        <v>105</v>
      </c>
      <c r="F17" t="s">
        <v>109</v>
      </c>
      <c r="G17">
        <v>1</v>
      </c>
      <c r="M17" s="6" t="s">
        <v>87</v>
      </c>
      <c r="N17" s="1"/>
      <c r="P17" s="14" t="s">
        <v>94</v>
      </c>
    </row>
    <row r="18" spans="1:16" x14ac:dyDescent="0.3">
      <c r="A18" s="1">
        <v>4</v>
      </c>
      <c r="B18" s="1" t="s">
        <v>78</v>
      </c>
      <c r="C18" s="1" t="s">
        <v>101</v>
      </c>
      <c r="E18" t="s">
        <v>105</v>
      </c>
      <c r="F18" s="4" t="s">
        <v>111</v>
      </c>
      <c r="G18">
        <v>1</v>
      </c>
      <c r="M18" s="6" t="s">
        <v>88</v>
      </c>
      <c r="N18" s="1"/>
      <c r="P18" s="14" t="s">
        <v>95</v>
      </c>
    </row>
    <row r="19" spans="1:16" x14ac:dyDescent="0.3">
      <c r="M19" s="6" t="s">
        <v>89</v>
      </c>
      <c r="N19" s="1"/>
      <c r="P19" s="14" t="s">
        <v>79</v>
      </c>
    </row>
    <row r="20" spans="1:16" x14ac:dyDescent="0.3">
      <c r="M20" s="6" t="s">
        <v>90</v>
      </c>
      <c r="N20" s="1"/>
      <c r="P20" s="14" t="s">
        <v>96</v>
      </c>
    </row>
    <row r="21" spans="1:16" x14ac:dyDescent="0.3">
      <c r="M21" s="6" t="s">
        <v>91</v>
      </c>
      <c r="N21" s="1"/>
      <c r="P21" s="14" t="s">
        <v>97</v>
      </c>
    </row>
    <row r="22" spans="1:16" x14ac:dyDescent="0.3">
      <c r="M22" s="7" t="s">
        <v>92</v>
      </c>
      <c r="N22" s="8"/>
      <c r="O22" s="9"/>
      <c r="P22" s="15" t="s">
        <v>98</v>
      </c>
    </row>
    <row r="23" spans="1:16" x14ac:dyDescent="0.3">
      <c r="A23" s="3" t="s">
        <v>82</v>
      </c>
      <c r="B23" s="3"/>
      <c r="C23" s="3"/>
      <c r="D23" s="10"/>
      <c r="E23" s="3"/>
      <c r="F23" s="3" t="s">
        <v>49</v>
      </c>
      <c r="G23" s="12" t="s">
        <v>114</v>
      </c>
      <c r="H23" s="12"/>
      <c r="I23" s="12"/>
      <c r="J23" s="3" t="s">
        <v>103</v>
      </c>
      <c r="K23" s="13">
        <f>COUNT(A25:A28)</f>
        <v>4</v>
      </c>
    </row>
    <row r="24" spans="1:16" x14ac:dyDescent="0.3">
      <c r="A24" t="s">
        <v>83</v>
      </c>
      <c r="B24" t="s">
        <v>99</v>
      </c>
      <c r="C24" t="s">
        <v>100</v>
      </c>
      <c r="D24" s="1" t="s">
        <v>102</v>
      </c>
      <c r="E24" t="s">
        <v>104</v>
      </c>
      <c r="F24" t="s">
        <v>106</v>
      </c>
      <c r="G24" t="s">
        <v>112</v>
      </c>
    </row>
    <row r="25" spans="1:16" x14ac:dyDescent="0.3">
      <c r="A25" s="1">
        <v>1</v>
      </c>
      <c r="B25" s="1" t="s">
        <v>78</v>
      </c>
      <c r="C25" s="1" t="s">
        <v>101</v>
      </c>
      <c r="D25" s="1">
        <v>0</v>
      </c>
    </row>
    <row r="26" spans="1:16" x14ac:dyDescent="0.3">
      <c r="A26" s="1">
        <v>4</v>
      </c>
      <c r="B26" s="1" t="s">
        <v>78</v>
      </c>
      <c r="C26" s="1" t="s">
        <v>101</v>
      </c>
      <c r="E26" t="s">
        <v>105</v>
      </c>
      <c r="F26" t="s">
        <v>25</v>
      </c>
      <c r="G26">
        <v>1</v>
      </c>
    </row>
    <row r="27" spans="1:16" x14ac:dyDescent="0.3">
      <c r="A27" s="1">
        <v>4</v>
      </c>
      <c r="B27" s="1" t="s">
        <v>78</v>
      </c>
      <c r="C27" s="1" t="s">
        <v>101</v>
      </c>
      <c r="E27" t="s">
        <v>105</v>
      </c>
      <c r="F27" t="s">
        <v>109</v>
      </c>
      <c r="G27">
        <v>1</v>
      </c>
    </row>
    <row r="28" spans="1:16" x14ac:dyDescent="0.3">
      <c r="A28" s="1">
        <v>4</v>
      </c>
      <c r="B28" s="1" t="s">
        <v>78</v>
      </c>
      <c r="C28" s="1" t="s">
        <v>101</v>
      </c>
      <c r="E28" t="s">
        <v>105</v>
      </c>
      <c r="F28" s="4" t="s">
        <v>111</v>
      </c>
      <c r="G28">
        <v>1</v>
      </c>
    </row>
  </sheetData>
  <mergeCells count="2">
    <mergeCell ref="M1:O1"/>
    <mergeCell ref="M14:O1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478D8-A687-4BD8-9789-B128138D6602}">
  <sheetPr codeName="Sheet5"/>
  <dimension ref="A1:K92"/>
  <sheetViews>
    <sheetView workbookViewId="0">
      <selection activeCell="H17" sqref="H17"/>
    </sheetView>
  </sheetViews>
  <sheetFormatPr defaultRowHeight="14.4" x14ac:dyDescent="0.3"/>
  <cols>
    <col min="4" max="4" width="17.109375" customWidth="1"/>
  </cols>
  <sheetData>
    <row r="1" spans="1:11" x14ac:dyDescent="0.3">
      <c r="A1" t="s">
        <v>6</v>
      </c>
      <c r="B1" t="s">
        <v>8</v>
      </c>
      <c r="C1" t="s">
        <v>9</v>
      </c>
      <c r="D1" t="s">
        <v>180</v>
      </c>
      <c r="E1" t="s">
        <v>80</v>
      </c>
      <c r="F1" t="s">
        <v>81</v>
      </c>
      <c r="G1" t="s">
        <v>10</v>
      </c>
      <c r="H1" t="s">
        <v>11</v>
      </c>
      <c r="I1" t="s">
        <v>12</v>
      </c>
    </row>
    <row r="2" spans="1:11" x14ac:dyDescent="0.3">
      <c r="A2" s="2"/>
      <c r="D2">
        <v>0</v>
      </c>
      <c r="E2">
        <f>D2</f>
        <v>0</v>
      </c>
      <c r="F2">
        <f>D3</f>
        <v>0</v>
      </c>
    </row>
    <row r="3" spans="1:11" x14ac:dyDescent="0.3">
      <c r="D3">
        <v>0</v>
      </c>
      <c r="E3">
        <f>D4</f>
        <v>2.3149100895040329E-2</v>
      </c>
      <c r="F3">
        <f>D5</f>
        <v>0</v>
      </c>
      <c r="K3" t="s">
        <v>30</v>
      </c>
    </row>
    <row r="4" spans="1:11" x14ac:dyDescent="0.3">
      <c r="D4">
        <v>2.3149100895040329E-2</v>
      </c>
      <c r="E4">
        <f>D6</f>
        <v>5.3541358876783844E-2</v>
      </c>
      <c r="F4">
        <f>D7</f>
        <v>0</v>
      </c>
    </row>
    <row r="5" spans="1:11" x14ac:dyDescent="0.3">
      <c r="D5">
        <v>0</v>
      </c>
      <c r="E5">
        <f>D8</f>
        <v>0.105255570119205</v>
      </c>
      <c r="F5">
        <f>D9</f>
        <v>0</v>
      </c>
      <c r="K5" t="s">
        <v>24</v>
      </c>
    </row>
    <row r="6" spans="1:11" x14ac:dyDescent="0.3">
      <c r="D6">
        <v>5.3541358876783844E-2</v>
      </c>
      <c r="E6">
        <f>D10</f>
        <v>0.16492755908174397</v>
      </c>
      <c r="F6">
        <f>D11</f>
        <v>0</v>
      </c>
      <c r="K6" t="s">
        <v>25</v>
      </c>
    </row>
    <row r="7" spans="1:11" x14ac:dyDescent="0.3">
      <c r="D7">
        <v>0</v>
      </c>
      <c r="E7">
        <f>D12</f>
        <v>0.22512505934280672</v>
      </c>
      <c r="F7">
        <f>D13</f>
        <v>0</v>
      </c>
      <c r="K7" t="s">
        <v>26</v>
      </c>
    </row>
    <row r="8" spans="1:11" x14ac:dyDescent="0.3">
      <c r="D8">
        <v>0.105255570119205</v>
      </c>
      <c r="E8">
        <f>D14</f>
        <v>0.27643071378458894</v>
      </c>
      <c r="F8">
        <f>D15</f>
        <v>0</v>
      </c>
      <c r="K8" t="s">
        <v>27</v>
      </c>
    </row>
    <row r="9" spans="1:11" x14ac:dyDescent="0.3">
      <c r="D9">
        <v>0</v>
      </c>
      <c r="E9">
        <f>D16</f>
        <v>0.31019657337272832</v>
      </c>
      <c r="F9">
        <f>D17</f>
        <v>0</v>
      </c>
      <c r="K9" t="s">
        <v>28</v>
      </c>
    </row>
    <row r="10" spans="1:11" x14ac:dyDescent="0.3">
      <c r="D10">
        <v>0.16492755908174397</v>
      </c>
      <c r="E10">
        <f>D18</f>
        <v>0.32001822281207432</v>
      </c>
      <c r="F10">
        <f>D19</f>
        <v>0</v>
      </c>
      <c r="K10" t="s">
        <v>29</v>
      </c>
    </row>
    <row r="11" spans="1:11" x14ac:dyDescent="0.3">
      <c r="D11">
        <v>0</v>
      </c>
      <c r="E11">
        <f>D20</f>
        <v>0.3034268587069564</v>
      </c>
      <c r="F11">
        <f>D21</f>
        <v>0</v>
      </c>
      <c r="K11" t="s">
        <v>31</v>
      </c>
    </row>
    <row r="12" spans="1:11" x14ac:dyDescent="0.3">
      <c r="D12">
        <v>0.22512505934280672</v>
      </c>
      <c r="E12">
        <f>D22</f>
        <v>0.26302475427505217</v>
      </c>
      <c r="F12">
        <f>D23</f>
        <v>0</v>
      </c>
    </row>
    <row r="13" spans="1:11" x14ac:dyDescent="0.3">
      <c r="D13">
        <v>0</v>
      </c>
      <c r="E13">
        <f>D24</f>
        <v>0.203482178903136</v>
      </c>
      <c r="F13">
        <f>D25</f>
        <v>0</v>
      </c>
    </row>
    <row r="14" spans="1:11" x14ac:dyDescent="0.3">
      <c r="D14">
        <v>0.27643071378458894</v>
      </c>
      <c r="E14">
        <f>D26</f>
        <v>0.13074524257433165</v>
      </c>
      <c r="F14">
        <f>D27</f>
        <v>0</v>
      </c>
    </row>
    <row r="15" spans="1:11" x14ac:dyDescent="0.3">
      <c r="D15">
        <v>0</v>
      </c>
      <c r="E15">
        <f>D28</f>
        <v>5.2144101714969963E-2</v>
      </c>
      <c r="F15">
        <f>D29</f>
        <v>0</v>
      </c>
    </row>
    <row r="16" spans="1:11" x14ac:dyDescent="0.3">
      <c r="D16">
        <v>0.31019657337272832</v>
      </c>
      <c r="E16">
        <f>D30</f>
        <v>0</v>
      </c>
      <c r="F16">
        <f>D31</f>
        <v>-2.3801257243743022E-2</v>
      </c>
    </row>
    <row r="17" spans="4:6" x14ac:dyDescent="0.3">
      <c r="D17">
        <v>0</v>
      </c>
      <c r="E17">
        <f>D32</f>
        <v>0</v>
      </c>
      <c r="F17">
        <f>D33</f>
        <v>-8.63660797121968E-2</v>
      </c>
    </row>
    <row r="18" spans="4:6" x14ac:dyDescent="0.3">
      <c r="D18">
        <v>0.32001822281207432</v>
      </c>
      <c r="E18">
        <f>D34</f>
        <v>0</v>
      </c>
      <c r="F18">
        <f>D35</f>
        <v>-0.12360782261113125</v>
      </c>
    </row>
    <row r="19" spans="4:6" x14ac:dyDescent="0.3">
      <c r="D19">
        <v>0</v>
      </c>
      <c r="E19">
        <f>D36</f>
        <v>0</v>
      </c>
      <c r="F19">
        <f>D37</f>
        <v>-0.12969531972915754</v>
      </c>
    </row>
    <row r="20" spans="4:6" x14ac:dyDescent="0.3">
      <c r="D20">
        <v>0.3034268587069564</v>
      </c>
      <c r="E20">
        <f>D38</f>
        <v>0</v>
      </c>
      <c r="F20">
        <f>D39</f>
        <v>-0.10797116668067355</v>
      </c>
    </row>
    <row r="21" spans="4:6" x14ac:dyDescent="0.3">
      <c r="D21">
        <v>0</v>
      </c>
      <c r="E21">
        <f>D40</f>
        <v>0</v>
      </c>
      <c r="F21">
        <f>D41</f>
        <v>-7.0538107950951154E-2</v>
      </c>
    </row>
    <row r="22" spans="4:6" x14ac:dyDescent="0.3">
      <c r="D22">
        <v>0.26302475427505217</v>
      </c>
      <c r="E22">
        <f>D42</f>
        <v>0</v>
      </c>
      <c r="F22">
        <f>D43</f>
        <v>-4.0802896337298639E-2</v>
      </c>
    </row>
    <row r="23" spans="4:6" x14ac:dyDescent="0.3">
      <c r="D23">
        <v>0</v>
      </c>
      <c r="E23">
        <f>D44</f>
        <v>0</v>
      </c>
      <c r="F23">
        <f>D45</f>
        <v>-1.7249525784029187E-2</v>
      </c>
    </row>
    <row r="24" spans="4:6" x14ac:dyDescent="0.3">
      <c r="D24">
        <v>0.203482178903136</v>
      </c>
      <c r="E24">
        <f>D46</f>
        <v>0</v>
      </c>
      <c r="F24">
        <f>D47</f>
        <v>0</v>
      </c>
    </row>
    <row r="25" spans="4:6" x14ac:dyDescent="0.3">
      <c r="D25">
        <v>0</v>
      </c>
      <c r="E25">
        <f>D48</f>
        <v>0</v>
      </c>
      <c r="F25">
        <f>D49</f>
        <v>-1.3820247160539863E-2</v>
      </c>
    </row>
    <row r="26" spans="4:6" x14ac:dyDescent="0.3">
      <c r="D26">
        <v>0.13074524257433165</v>
      </c>
      <c r="E26">
        <f>D50</f>
        <v>0</v>
      </c>
      <c r="F26">
        <f>D51</f>
        <v>-3.2249881606246401E-2</v>
      </c>
    </row>
    <row r="27" spans="4:6" x14ac:dyDescent="0.3">
      <c r="D27">
        <v>0</v>
      </c>
      <c r="E27">
        <f>D52</f>
        <v>0</v>
      </c>
      <c r="F27">
        <f>D53</f>
        <v>-5.6065969728364716E-2</v>
      </c>
    </row>
    <row r="28" spans="4:6" x14ac:dyDescent="0.3">
      <c r="D28">
        <v>5.2144101714969963E-2</v>
      </c>
      <c r="E28">
        <f>D54</f>
        <v>0</v>
      </c>
      <c r="F28">
        <f>D55</f>
        <v>-9.065929324534297E-2</v>
      </c>
    </row>
    <row r="29" spans="4:6" x14ac:dyDescent="0.3">
      <c r="D29">
        <v>0</v>
      </c>
      <c r="E29">
        <f>D56</f>
        <v>0</v>
      </c>
      <c r="F29">
        <f>D57</f>
        <v>-0.1211950001271578</v>
      </c>
    </row>
    <row r="30" spans="4:6" x14ac:dyDescent="0.3">
      <c r="D30">
        <v>0</v>
      </c>
      <c r="E30">
        <f>D58</f>
        <v>0</v>
      </c>
      <c r="F30">
        <f>D59</f>
        <v>-0.14077146638220558</v>
      </c>
    </row>
    <row r="31" spans="4:6" x14ac:dyDescent="0.3">
      <c r="D31">
        <v>-2.3801257243743022E-2</v>
      </c>
      <c r="E31">
        <f>D60</f>
        <v>0</v>
      </c>
      <c r="F31">
        <f>D61</f>
        <v>-0.14695976047158735</v>
      </c>
    </row>
    <row r="32" spans="4:6" x14ac:dyDescent="0.3">
      <c r="D32">
        <v>0</v>
      </c>
      <c r="E32">
        <f>D62</f>
        <v>0</v>
      </c>
      <c r="F32">
        <f>D63</f>
        <v>-0.14017488446832763</v>
      </c>
    </row>
    <row r="33" spans="4:6" x14ac:dyDescent="0.3">
      <c r="D33">
        <v>-8.63660797121968E-2</v>
      </c>
      <c r="E33">
        <f>D64</f>
        <v>0</v>
      </c>
      <c r="F33">
        <f>D65</f>
        <v>-0.12323541553895967</v>
      </c>
    </row>
    <row r="34" spans="4:6" x14ac:dyDescent="0.3">
      <c r="D34">
        <v>0</v>
      </c>
      <c r="E34">
        <f>D66</f>
        <v>0</v>
      </c>
      <c r="F34">
        <f>D67</f>
        <v>-0.10177436856916794</v>
      </c>
    </row>
    <row r="35" spans="4:6" x14ac:dyDescent="0.3">
      <c r="D35">
        <v>-0.12360782261113125</v>
      </c>
      <c r="E35">
        <f>D68</f>
        <v>0</v>
      </c>
      <c r="F35">
        <f>D69</f>
        <v>-8.2522203895712132E-2</v>
      </c>
    </row>
    <row r="36" spans="4:6" x14ac:dyDescent="0.3">
      <c r="D36">
        <v>0</v>
      </c>
      <c r="E36">
        <f>D70</f>
        <v>0</v>
      </c>
      <c r="F36">
        <f>D71</f>
        <v>-7.185887180331911E-2</v>
      </c>
    </row>
    <row r="37" spans="4:6" x14ac:dyDescent="0.3">
      <c r="D37">
        <v>-0.12969531972915754</v>
      </c>
      <c r="E37">
        <f>D72</f>
        <v>0</v>
      </c>
      <c r="F37">
        <f>D73</f>
        <v>-7.4083994082821167E-2</v>
      </c>
    </row>
    <row r="38" spans="4:6" x14ac:dyDescent="0.3">
      <c r="D38">
        <v>0</v>
      </c>
      <c r="E38">
        <f>D74</f>
        <v>0</v>
      </c>
      <c r="F38">
        <f>D75</f>
        <v>-9.0116142962225546E-2</v>
      </c>
    </row>
    <row r="39" spans="4:6" x14ac:dyDescent="0.3">
      <c r="D39">
        <v>-0.10797116668067355</v>
      </c>
      <c r="E39">
        <f>D76</f>
        <v>0</v>
      </c>
      <c r="F39">
        <f>D77</f>
        <v>-0.11743551217953754</v>
      </c>
    </row>
    <row r="40" spans="4:6" x14ac:dyDescent="0.3">
      <c r="D40">
        <v>0</v>
      </c>
      <c r="E40">
        <f>D78</f>
        <v>0</v>
      </c>
      <c r="F40">
        <f>D79</f>
        <v>-0.14950257780745085</v>
      </c>
    </row>
    <row r="41" spans="4:6" x14ac:dyDescent="0.3">
      <c r="D41">
        <v>-7.0538107950951154E-2</v>
      </c>
      <c r="E41">
        <f>D80</f>
        <v>0</v>
      </c>
      <c r="F41">
        <f>D81</f>
        <v>-0.17648275186020271</v>
      </c>
    </row>
    <row r="42" spans="4:6" x14ac:dyDescent="0.3">
      <c r="D42">
        <v>0</v>
      </c>
      <c r="E42">
        <f>D82</f>
        <v>0</v>
      </c>
      <c r="F42">
        <f>D83</f>
        <v>-0.18686867908881188</v>
      </c>
    </row>
    <row r="43" spans="4:6" x14ac:dyDescent="0.3">
      <c r="D43">
        <v>-4.0802896337298639E-2</v>
      </c>
      <c r="E43">
        <f>D84</f>
        <v>0</v>
      </c>
      <c r="F43">
        <f>D85</f>
        <v>-0.17067034477091</v>
      </c>
    </row>
    <row r="44" spans="4:6" x14ac:dyDescent="0.3">
      <c r="D44">
        <v>0</v>
      </c>
      <c r="E44">
        <f>D86</f>
        <v>0</v>
      </c>
      <c r="F44">
        <f>D87</f>
        <v>-0.12357827440405791</v>
      </c>
    </row>
    <row r="45" spans="4:6" x14ac:dyDescent="0.3">
      <c r="D45">
        <v>-1.7249525784029187E-2</v>
      </c>
      <c r="E45">
        <f>D88</f>
        <v>0</v>
      </c>
      <c r="F45">
        <f>D89</f>
        <v>-8.4831150074887174E-2</v>
      </c>
    </row>
    <row r="46" spans="4:6" x14ac:dyDescent="0.3">
      <c r="D46">
        <v>0</v>
      </c>
      <c r="E46">
        <f>D90</f>
        <v>0</v>
      </c>
      <c r="F46">
        <f>D91</f>
        <v>0</v>
      </c>
    </row>
    <row r="47" spans="4:6" x14ac:dyDescent="0.3">
      <c r="D47">
        <v>0</v>
      </c>
    </row>
    <row r="48" spans="4:6" x14ac:dyDescent="0.3">
      <c r="D48">
        <v>0</v>
      </c>
    </row>
    <row r="49" spans="4:4" x14ac:dyDescent="0.3">
      <c r="D49">
        <v>-1.3820247160539863E-2</v>
      </c>
    </row>
    <row r="50" spans="4:4" x14ac:dyDescent="0.3">
      <c r="D50">
        <v>0</v>
      </c>
    </row>
    <row r="51" spans="4:4" x14ac:dyDescent="0.3">
      <c r="D51">
        <v>-3.2249881606246401E-2</v>
      </c>
    </row>
    <row r="52" spans="4:4" x14ac:dyDescent="0.3">
      <c r="D52">
        <v>0</v>
      </c>
    </row>
    <row r="53" spans="4:4" x14ac:dyDescent="0.3">
      <c r="D53">
        <v>-5.6065969728364716E-2</v>
      </c>
    </row>
    <row r="54" spans="4:4" x14ac:dyDescent="0.3">
      <c r="D54">
        <v>0</v>
      </c>
    </row>
    <row r="55" spans="4:4" x14ac:dyDescent="0.3">
      <c r="D55">
        <v>-9.065929324534297E-2</v>
      </c>
    </row>
    <row r="56" spans="4:4" x14ac:dyDescent="0.3">
      <c r="D56">
        <v>0</v>
      </c>
    </row>
    <row r="57" spans="4:4" x14ac:dyDescent="0.3">
      <c r="D57">
        <v>-0.1211950001271578</v>
      </c>
    </row>
    <row r="58" spans="4:4" x14ac:dyDescent="0.3">
      <c r="D58">
        <v>0</v>
      </c>
    </row>
    <row r="59" spans="4:4" x14ac:dyDescent="0.3">
      <c r="D59">
        <v>-0.14077146638220558</v>
      </c>
    </row>
    <row r="60" spans="4:4" x14ac:dyDescent="0.3">
      <c r="D60">
        <v>0</v>
      </c>
    </row>
    <row r="61" spans="4:4" x14ac:dyDescent="0.3">
      <c r="D61">
        <v>-0.14695976047158735</v>
      </c>
    </row>
    <row r="62" spans="4:4" x14ac:dyDescent="0.3">
      <c r="D62">
        <v>0</v>
      </c>
    </row>
    <row r="63" spans="4:4" x14ac:dyDescent="0.3">
      <c r="D63">
        <v>-0.14017488446832763</v>
      </c>
    </row>
    <row r="64" spans="4:4" x14ac:dyDescent="0.3">
      <c r="D64">
        <v>0</v>
      </c>
    </row>
    <row r="65" spans="4:4" x14ac:dyDescent="0.3">
      <c r="D65">
        <v>-0.12323541553895967</v>
      </c>
    </row>
    <row r="66" spans="4:4" x14ac:dyDescent="0.3">
      <c r="D66">
        <v>0</v>
      </c>
    </row>
    <row r="67" spans="4:4" x14ac:dyDescent="0.3">
      <c r="D67">
        <v>-0.10177436856916794</v>
      </c>
    </row>
    <row r="68" spans="4:4" x14ac:dyDescent="0.3">
      <c r="D68">
        <v>0</v>
      </c>
    </row>
    <row r="69" spans="4:4" x14ac:dyDescent="0.3">
      <c r="D69">
        <v>-8.2522203895712132E-2</v>
      </c>
    </row>
    <row r="70" spans="4:4" x14ac:dyDescent="0.3">
      <c r="D70">
        <v>0</v>
      </c>
    </row>
    <row r="71" spans="4:4" x14ac:dyDescent="0.3">
      <c r="D71">
        <v>-7.185887180331911E-2</v>
      </c>
    </row>
    <row r="72" spans="4:4" x14ac:dyDescent="0.3">
      <c r="D72">
        <v>0</v>
      </c>
    </row>
    <row r="73" spans="4:4" x14ac:dyDescent="0.3">
      <c r="D73">
        <v>-7.4083994082821167E-2</v>
      </c>
    </row>
    <row r="74" spans="4:4" x14ac:dyDescent="0.3">
      <c r="D74">
        <v>0</v>
      </c>
    </row>
    <row r="75" spans="4:4" x14ac:dyDescent="0.3">
      <c r="D75">
        <v>-9.0116142962225546E-2</v>
      </c>
    </row>
    <row r="76" spans="4:4" x14ac:dyDescent="0.3">
      <c r="D76">
        <v>0</v>
      </c>
    </row>
    <row r="77" spans="4:4" x14ac:dyDescent="0.3">
      <c r="D77">
        <v>-0.11743551217953754</v>
      </c>
    </row>
    <row r="78" spans="4:4" x14ac:dyDescent="0.3">
      <c r="D78">
        <v>0</v>
      </c>
    </row>
    <row r="79" spans="4:4" x14ac:dyDescent="0.3">
      <c r="D79">
        <v>-0.14950257780745085</v>
      </c>
    </row>
    <row r="80" spans="4:4" x14ac:dyDescent="0.3">
      <c r="D80">
        <v>0</v>
      </c>
    </row>
    <row r="81" spans="4:4" x14ac:dyDescent="0.3">
      <c r="D81">
        <v>-0.17648275186020271</v>
      </c>
    </row>
    <row r="82" spans="4:4" x14ac:dyDescent="0.3">
      <c r="D82">
        <v>0</v>
      </c>
    </row>
    <row r="83" spans="4:4" x14ac:dyDescent="0.3">
      <c r="D83">
        <v>-0.18686867908881188</v>
      </c>
    </row>
    <row r="84" spans="4:4" x14ac:dyDescent="0.3">
      <c r="D84">
        <v>0</v>
      </c>
    </row>
    <row r="85" spans="4:4" x14ac:dyDescent="0.3">
      <c r="D85">
        <v>-0.17067034477091</v>
      </c>
    </row>
    <row r="86" spans="4:4" x14ac:dyDescent="0.3">
      <c r="D86">
        <v>0</v>
      </c>
    </row>
    <row r="87" spans="4:4" x14ac:dyDescent="0.3">
      <c r="D87">
        <v>-0.12357827440405791</v>
      </c>
    </row>
    <row r="88" spans="4:4" x14ac:dyDescent="0.3">
      <c r="D88">
        <v>0</v>
      </c>
    </row>
    <row r="89" spans="4:4" x14ac:dyDescent="0.3">
      <c r="D89">
        <v>-8.4831150074887174E-2</v>
      </c>
    </row>
    <row r="90" spans="4:4" x14ac:dyDescent="0.3">
      <c r="D90">
        <v>0</v>
      </c>
    </row>
    <row r="91" spans="4:4" x14ac:dyDescent="0.3">
      <c r="D91">
        <v>0</v>
      </c>
    </row>
    <row r="92" spans="4:4" x14ac:dyDescent="0.3">
      <c r="D92" t="e"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Secoes</vt:lpstr>
      <vt:lpstr>Secoes_VAR</vt:lpstr>
      <vt:lpstr>Frames</vt:lpstr>
      <vt:lpstr>Restraints</vt:lpstr>
      <vt:lpstr>Links</vt:lpstr>
      <vt:lpstr>Loads_Patterns</vt:lpstr>
      <vt:lpstr>Stays</vt:lpstr>
      <vt:lpstr>Loads_Cases</vt:lpstr>
      <vt:lpstr>Results_Case2</vt:lpstr>
      <vt:lpstr>asphaltThickness</vt:lpstr>
      <vt:lpstr>DeckWidth</vt:lpstr>
      <vt:lpstr>heightBeamLeft</vt:lpstr>
      <vt:lpstr>heightBeamRight</vt:lpstr>
      <vt:lpstr>LanesWidth</vt:lpstr>
      <vt:lpstr>rhoPav</vt:lpstr>
      <vt:lpstr>SlabHeigth</vt:lpstr>
      <vt:lpstr>SlabWidth</vt:lpstr>
      <vt:lpstr>widthBeamLeft</vt:lpstr>
      <vt:lpstr>widthBeamRight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FelipeSBrandao</dc:creator>
  <cp:lastModifiedBy>FelipeSBrandao</cp:lastModifiedBy>
  <dcterms:created xsi:type="dcterms:W3CDTF">2024-01-08T22:22:53Z</dcterms:created>
  <dcterms:modified xsi:type="dcterms:W3CDTF">2024-09-02T21:16:21Z</dcterms:modified>
</cp:coreProperties>
</file>